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1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.saleem\Downloads\"/>
    </mc:Choice>
  </mc:AlternateContent>
  <xr:revisionPtr revIDLastSave="700" documentId="11_18BC87A5DFAC0EF5FB870D0881BD96026F970D65" xr6:coauthVersionLast="47" xr6:coauthVersionMax="47" xr10:uidLastSave="{EF73B202-1946-4842-9980-5C6833BA9187}"/>
  <bookViews>
    <workbookView xWindow="0" yWindow="0" windowWidth="23040" windowHeight="9192" firstSheet="1" xr2:uid="{00000000-000D-0000-FFFF-FFFF00000000}"/>
  </bookViews>
  <sheets>
    <sheet name="MAR" sheetId="1" r:id="rId1"/>
    <sheet name="Summery" sheetId="3" r:id="rId2"/>
    <sheet name="احصائيات" sheetId="4" state="hidden" r:id="rId3"/>
  </sheets>
  <definedNames>
    <definedName name="_xlnm._FilterDatabase" localSheetId="0" hidden="1">MAR!$A$3:$F$802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3" l="1"/>
  <c r="A13" i="3"/>
  <c r="B10" i="3"/>
  <c r="A10" i="3"/>
  <c r="B9" i="3"/>
  <c r="B12" i="3"/>
  <c r="A12" i="3"/>
  <c r="B11" i="3"/>
  <c r="B7" i="3" l="1"/>
  <c r="B2" i="3"/>
  <c r="A2" i="3"/>
  <c r="K37" i="3" l="1"/>
  <c r="K19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K25" i="3"/>
  <c r="K24" i="3"/>
  <c r="K23" i="3"/>
  <c r="K22" i="3"/>
  <c r="K21" i="3"/>
  <c r="K20" i="3"/>
  <c r="K18" i="3"/>
  <c r="K17" i="3"/>
  <c r="K16" i="3"/>
  <c r="K15" i="3"/>
  <c r="K14" i="3" l="1"/>
  <c r="K13" i="3"/>
  <c r="K12" i="3"/>
  <c r="K11" i="3"/>
  <c r="K10" i="3"/>
  <c r="K9" i="3"/>
  <c r="K8" i="3"/>
  <c r="K7" i="3"/>
  <c r="E5" i="4" l="1"/>
  <c r="A9" i="3"/>
  <c r="B8" i="3"/>
  <c r="A11" i="3"/>
  <c r="I8" i="1"/>
  <c r="I7" i="1"/>
  <c r="I5" i="1"/>
  <c r="I4" i="1"/>
  <c r="I6" i="1"/>
  <c r="B6" i="3"/>
  <c r="B5" i="3"/>
  <c r="B4" i="3"/>
  <c r="B3" i="3"/>
  <c r="B14" i="3" s="1"/>
  <c r="I9" i="1" l="1"/>
  <c r="A7" i="3"/>
  <c r="A6" i="3"/>
  <c r="A5" i="3"/>
  <c r="A4" i="3" l="1"/>
  <c r="A3" i="3" l="1"/>
  <c r="A8" i="3"/>
</calcChain>
</file>

<file path=xl/sharedStrings.xml><?xml version="1.0" encoding="utf-8"?>
<sst xmlns="http://schemas.openxmlformats.org/spreadsheetml/2006/main" count="1814" uniqueCount="385">
  <si>
    <t>No</t>
  </si>
  <si>
    <t xml:space="preserve">Task Description  </t>
  </si>
  <si>
    <t>Week</t>
  </si>
  <si>
    <t>Engineer</t>
  </si>
  <si>
    <t>Services List</t>
  </si>
  <si>
    <t>Status</t>
  </si>
  <si>
    <t>Tasks Status Overall</t>
  </si>
  <si>
    <t>ETEC | Safe CTI | Weekly CTI Report W09</t>
  </si>
  <si>
    <t>Week 1</t>
  </si>
  <si>
    <t>Sultan</t>
  </si>
  <si>
    <t>CTI Feeds</t>
  </si>
  <si>
    <t>Completed</t>
  </si>
  <si>
    <t>Pending</t>
  </si>
  <si>
    <t>Weekly Threat Intelligence Brief  IOCs</t>
  </si>
  <si>
    <t>Week 2</t>
  </si>
  <si>
    <t>In Progress</t>
  </si>
  <si>
    <t>Information Sharing Service -IOCs 19 Mar</t>
  </si>
  <si>
    <t>Week 3</t>
  </si>
  <si>
    <t>Block direct access to AC</t>
  </si>
  <si>
    <t>Cyber Infra</t>
  </si>
  <si>
    <t xml:space="preserve">Escalation </t>
  </si>
  <si>
    <t>Block direct access to DDI</t>
  </si>
  <si>
    <t>Hold</t>
  </si>
  <si>
    <t>Block direct access to DDAn</t>
  </si>
  <si>
    <t xml:space="preserve">Total </t>
  </si>
  <si>
    <t>Block direct access to DLP</t>
  </si>
  <si>
    <t>Block direct access to EDR</t>
  </si>
  <si>
    <t>Block direct access to DS</t>
  </si>
  <si>
    <t>TP - Create exception rule to VA</t>
  </si>
  <si>
    <t>Block direct access to Nessus</t>
  </si>
  <si>
    <t>Disable Block direct access to EDR rule</t>
  </si>
  <si>
    <t>Disable Block direct access to SIEM rule</t>
  </si>
  <si>
    <t>Download OVA file for kiteworks</t>
  </si>
  <si>
    <t>TP - Install new patch for SMS</t>
  </si>
  <si>
    <t>TP - Patch SMS</t>
  </si>
  <si>
    <t>TP - Create Exception rule for DDI And DDD connectivity</t>
  </si>
  <si>
    <t>TP - Create Exception rule for AC And DDD connectivity</t>
  </si>
  <si>
    <t>TP - Create Exception rule for DDAn And DDD connectivity</t>
  </si>
  <si>
    <t>Block direct access to AO</t>
  </si>
  <si>
    <t>DDI - Health Check</t>
  </si>
  <si>
    <t>Health Check</t>
  </si>
  <si>
    <t>DDAn - Health Check</t>
  </si>
  <si>
    <t>AC - Health check</t>
  </si>
  <si>
    <t>TP - Health Check</t>
  </si>
  <si>
    <t>IPS - Heealth Check</t>
  </si>
  <si>
    <t>ExtraHop Health Check</t>
  </si>
  <si>
    <t>Block IoCs _ SD _Haseen _ 65 hashes on Apex Central</t>
  </si>
  <si>
    <t>IoCs</t>
  </si>
  <si>
    <t>Block IoCs _ SD _Haseen _ 27 URLs on Apex Central</t>
  </si>
  <si>
    <t>Block IoCs _ SD _Haseen _ 9 Domains on Apex Central</t>
  </si>
  <si>
    <t>Block IoCs _ SD _Haseen _ 9 IP Address on Apex Central</t>
  </si>
  <si>
    <t>Block IoCs _ SD _Haseen _ 3 URLs on Apex Central</t>
  </si>
  <si>
    <t>Block IoCs _ SD _Haseen _ 43 Domains on Apex Central</t>
  </si>
  <si>
    <t>Block IoCs _ SD _Haseen _ 3 IP Address on Apex Central</t>
  </si>
  <si>
    <t>Explain TM suites</t>
  </si>
  <si>
    <t>OTHER</t>
  </si>
  <si>
    <t>Explain ExtraHop NDR</t>
  </si>
  <si>
    <t>Explain TP</t>
  </si>
  <si>
    <t>Explain Sec Controls</t>
  </si>
  <si>
    <t>Review IPS Project RFP</t>
  </si>
  <si>
    <t>Projects</t>
  </si>
  <si>
    <t>Edit IPS Project RFP</t>
  </si>
  <si>
    <t>Finalize IPS Project RFP</t>
  </si>
  <si>
    <t>Request for Microsoft Information</t>
  </si>
  <si>
    <t>Request for Hyper-V License</t>
  </si>
  <si>
    <t>Follow up KiteWork project</t>
  </si>
  <si>
    <t>Validate integrity monitoring</t>
  </si>
  <si>
    <t xml:space="preserve">Sec Selution Administration </t>
  </si>
  <si>
    <t>Create new test rule for FIM</t>
  </si>
  <si>
    <t>Test the test rule for FIM</t>
  </si>
  <si>
    <t>DS - Activate 9 agents</t>
  </si>
  <si>
    <t>DS - Assign the policies</t>
  </si>
  <si>
    <t>Release email to alharbi@etec.gov.sa</t>
  </si>
  <si>
    <t>Change root password ETEC-NTNX-AHV01</t>
  </si>
  <si>
    <t>Change root password ETEC-NTNX-AHV02</t>
  </si>
  <si>
    <t>Change root password ETEC-NTNX-AHV03</t>
  </si>
  <si>
    <t>CBT Scanner admin Exception QWAE-44-AD01</t>
  </si>
  <si>
    <t>CBT Scanner admin Exception QWAE-44-AD02</t>
  </si>
  <si>
    <t>CBT Scanner admin Exception QWAE-44-AD03</t>
  </si>
  <si>
    <t>CBT Scanner admin Exception QWAE-44-SUP01</t>
  </si>
  <si>
    <t>Troubleshoot IPS action</t>
  </si>
  <si>
    <t>Sec Troubleshooting</t>
  </si>
  <si>
    <t>Troubleshoot Internet Access</t>
  </si>
  <si>
    <t>Troubleshoot EDR Access</t>
  </si>
  <si>
    <t>Troubleshoot Vlan126</t>
  </si>
  <si>
    <t>KW - Resolve Vlan126 Issue</t>
  </si>
  <si>
    <t>Troubleshoot DDI And DDD connectivity</t>
  </si>
  <si>
    <t>Troubleshoot AC And DDD connectivity</t>
  </si>
  <si>
    <t>Troubleshoot DDAn And DDD connectivity</t>
  </si>
  <si>
    <t>002- ETEC | Safe SOC | INC#2503-05 SD - WAF External common attack(SQL-XSS)</t>
  </si>
  <si>
    <t>SOC Alerts</t>
  </si>
  <si>
    <t>Block IP Address on Apex Central</t>
  </si>
  <si>
    <t>RE: 002- ETEC | Safe SOC | INC#2503-22 ETEC - Service Stopped of (Trend Micro Deep Security Agent) (ETECJMPFIN01.NCA.Local).</t>
  </si>
  <si>
    <t>Meeting with Dsshield to follow up Kitework project</t>
  </si>
  <si>
    <t>Technical Meeting</t>
  </si>
  <si>
    <t>DLP | ETEC meeting</t>
  </si>
  <si>
    <t>BMC - INC000000010723</t>
  </si>
  <si>
    <t>Ticket</t>
  </si>
  <si>
    <t xml:space="preserve">BMC - INC000000010925 </t>
  </si>
  <si>
    <t>Trend Micro IPS sizing and Technical RFP discuss</t>
  </si>
  <si>
    <t>M. Shahrani</t>
  </si>
  <si>
    <t>RFP</t>
  </si>
  <si>
    <t>release email from ESA  (17243859)</t>
  </si>
  <si>
    <t>release email from ESA  (17243860)</t>
  </si>
  <si>
    <t>ETEC- Proofpoint DEMO meeting</t>
  </si>
  <si>
    <t xml:space="preserve"> ExtraHop updated BoQ (ETEC DC + DEEM)</t>
  </si>
  <si>
    <t>Trend Micro IPS sizing and Technical RFP discuss - meeting#2</t>
  </si>
  <si>
    <t xml:space="preserve">resend DDOS+DNS RFP to upper mangement  </t>
  </si>
  <si>
    <t>Trend Micro IPS sizing and Technical RFP discuss - meeting#3</t>
  </si>
  <si>
    <t>ETEC- Proofpoint DEMO meeting # 4</t>
  </si>
  <si>
    <t>ETEC -  FortiProxy PoC in nada site</t>
  </si>
  <si>
    <t>kick-off meeting with Recliance -ALGOSEC project</t>
  </si>
  <si>
    <t xml:space="preserve">review NDR RFP </t>
  </si>
  <si>
    <t>build IPS RFP with TrendMicro vendor</t>
  </si>
  <si>
    <t>release email from ESA  (18495055)</t>
  </si>
  <si>
    <t>release email from ESA  (18488534)</t>
  </si>
  <si>
    <t>release email from ESA  (18468178)</t>
  </si>
  <si>
    <t>release email from ESA  (18431603)</t>
  </si>
  <si>
    <t>techincal meeting with IT team to discuss IPS project</t>
  </si>
  <si>
    <t xml:space="preserve">review algosec HLD </t>
  </si>
  <si>
    <t xml:space="preserve">cordinate with IT team to creat Two algosec VMs in Deem enivroment </t>
  </si>
  <si>
    <t>creat FCR with IT team to open communication between Two algosec VMs and ETEC services</t>
  </si>
  <si>
    <t xml:space="preserve">review the IPS project to change the purshuase department comments </t>
  </si>
  <si>
    <t xml:space="preserve">release 4 emails - omar aqeel from proofpoint mail secuirty </t>
  </si>
  <si>
    <t xml:space="preserve">release  email - Amal M. Al-Shathry from proofpoint mail secuirty </t>
  </si>
  <si>
    <t>test FortiProxy service  - ETEC POC on client site in nada site</t>
  </si>
  <si>
    <t xml:space="preserve">GAP Analisys </t>
  </si>
  <si>
    <t xml:space="preserve">release 1 email - saleh alghamdi from proofpoint mail secuirty </t>
  </si>
  <si>
    <t>Week 4</t>
  </si>
  <si>
    <t>release email from ESA  (18832832)</t>
  </si>
  <si>
    <t xml:space="preserve">review the NDR project to change the purshuase department comments </t>
  </si>
  <si>
    <t>haseen-GN-67028--Next.js Vulnerability - CVE-2025-29927</t>
  </si>
  <si>
    <t>HASEEN</t>
  </si>
  <si>
    <t xml:space="preserve">release  email - haya omrani from proofpoint mail secuirty </t>
  </si>
  <si>
    <t>release email from ESA  (18927193)</t>
  </si>
  <si>
    <t xml:space="preserve">review the NDR project with IT team to discuss the  comments </t>
  </si>
  <si>
    <t>sign the site survey to partniers for DDOs and IPS projects</t>
  </si>
  <si>
    <t>[ProofPoint Mail Gateway] MS Exchange connector</t>
  </si>
  <si>
    <t>Amani</t>
  </si>
  <si>
    <t xml:space="preserve">حساب EC </t>
  </si>
  <si>
    <r>
      <rPr>
        <sz val="16"/>
        <color rgb="FF000000"/>
        <rFont val="Arial"/>
      </rPr>
      <t xml:space="preserve">PAM - </t>
    </r>
    <r>
      <rPr>
        <b/>
        <sz val="16"/>
        <color rgb="FF000000"/>
        <rFont val="Arial"/>
      </rPr>
      <t>صلاحية على خادم</t>
    </r>
  </si>
  <si>
    <t>PAM - Request for Permission to Access Stage Environment</t>
  </si>
  <si>
    <t xml:space="preserve">EC account approval </t>
  </si>
  <si>
    <t>PAM - Issue with cluster</t>
  </si>
  <si>
    <t xml:space="preserve">ربط مستخدمين وخوادم ادارة المشاريع بنظام PAM </t>
  </si>
  <si>
    <t xml:space="preserve">PAM - Issue with cluster </t>
  </si>
  <si>
    <t>خطة مشروع توريد وتركيب نظام تصنيف البيانات ونظام منع تسريب البيانات DLP</t>
  </si>
  <si>
    <t>ETEC - FortiProxy PoC</t>
  </si>
  <si>
    <t>Splunk Deployment - Day 57</t>
  </si>
  <si>
    <t>Splunk Deployment - Day 58</t>
  </si>
  <si>
    <t>OPSWAT x ETEC Intro Meeting</t>
  </si>
  <si>
    <t>صلاحية jump Server  على PAM</t>
  </si>
  <si>
    <t>Social engineering with HelpAG year 2025 whitelist</t>
  </si>
  <si>
    <t xml:space="preserve">طلب الوصول إلى PAM </t>
  </si>
  <si>
    <t xml:space="preserve"> ربط مستخدمين وخوادم ادارة المشاريع بنظام PAM </t>
  </si>
  <si>
    <t>ETEC | Safe SOC | INC#2503-40 ETEC- Client Requests Malicious Website</t>
  </si>
  <si>
    <t>Trend micro vulnerability</t>
  </si>
  <si>
    <t>Vulnurabilites</t>
  </si>
  <si>
    <t>[Urgent] PT - Allow connection</t>
  </si>
  <si>
    <t>Splunk- Knowledge Transfer - Day1</t>
  </si>
  <si>
    <t>Splunk- Knowledge Transfer - Day2</t>
  </si>
  <si>
    <t>Splunk- Knowledge Transfer - Day3</t>
  </si>
  <si>
    <t>Splunk- Knowledge Transfer - Day4</t>
  </si>
  <si>
    <t>Splunk- Knowledge Transfer - Day5</t>
  </si>
  <si>
    <t>Splunk- Knowledge Transfer - Day6</t>
  </si>
  <si>
    <t>Splunk- Knowledge Transfer - Day7</t>
  </si>
  <si>
    <t>Splunk Deployment - Day 61</t>
  </si>
  <si>
    <t>Block external sharefolder websites</t>
  </si>
  <si>
    <t xml:space="preserve">PAM - Issue with server </t>
  </si>
  <si>
    <t>Milaf</t>
  </si>
  <si>
    <t xml:space="preserve">RE: ربط مستخدمين وخوادم ادارة المشاريع بنظام PAM </t>
  </si>
  <si>
    <t>بلاغات واستفسارات بشأن البرنامج التوعوي التدريبي الإلزامية</t>
  </si>
  <si>
    <t>RE: Information Sharing Service Weekly Threat Intelligence Brief (21 Feb 2025 - 27 Feb 2025</t>
  </si>
  <si>
    <t xml:space="preserve">Citrix vulnerability </t>
  </si>
  <si>
    <t xml:space="preserve"> ETEC - Connect on analysis of Alerts</t>
  </si>
  <si>
    <t>تسريب على الخدمات الخاصه بالهيئة</t>
  </si>
  <si>
    <t>Threat Analisys</t>
  </si>
  <si>
    <t>صلاحية على خادم</t>
  </si>
  <si>
    <t xml:space="preserve">RE: EC account approval </t>
  </si>
  <si>
    <t xml:space="preserve">report for RE: انتهاك لسياسة الوصول الى الخوادم </t>
  </si>
  <si>
    <t>Sec Investigations</t>
  </si>
  <si>
    <t>cyble - رفع تطبيقات الهاتف الخاصة بالهيئة على مواقع غير موثوقة</t>
  </si>
  <si>
    <t>cyble - Review of TRIAL of Managed services - next steps</t>
  </si>
  <si>
    <t>meeting - ابتداء اختبار الاختراق على صفحة التصنيف السعودي العالمي (صقر)</t>
  </si>
  <si>
    <t xml:space="preserve">cyble - رفع تطبيق مستقبلهم على متجر غير موثوق </t>
  </si>
  <si>
    <t>cyble - Keycloak 10.0.0 - To 18.0.0 Is Vulnerable To Cross-Site Scripting (gateway.etec.gov.sa)</t>
  </si>
  <si>
    <t xml:space="preserve">RE: Information Sharing Service Veeam Vulnerability </t>
  </si>
  <si>
    <t xml:space="preserve">انتهاك سياسة الوصول المباشر للخوادمsplunk -  </t>
  </si>
  <si>
    <t xml:space="preserve">pam - RE: منح صلاحية الدخول عن بعد لتقديم الدعم </t>
  </si>
  <si>
    <t>اضافة خوادم على PAM</t>
  </si>
  <si>
    <t xml:space="preserve">RE: Cerate account BAM and permission to access Jump </t>
  </si>
  <si>
    <t>RE: الاجتماع الدوري للجنة إدارة التغيير</t>
  </si>
  <si>
    <t>cyble - أشتباه ب انتهاء الشهاده الرقمية</t>
  </si>
  <si>
    <t>RE: Information Sharing Service BlackSuit Report</t>
  </si>
  <si>
    <t>RE: الاتصال عن بعد</t>
  </si>
  <si>
    <t>High or critical priority host was detected with malware</t>
  </si>
  <si>
    <t>week 1</t>
  </si>
  <si>
    <t>0001 Admin User Remote Logon</t>
  </si>
  <si>
    <t>WAF External common attack(SQL-XSS)</t>
  </si>
  <si>
    <t>WAF External Attack 2</t>
  </si>
  <si>
    <t>0101 internal Horizontal Port Scan</t>
  </si>
  <si>
    <t>Service stopped of (Fidelis Endpoint Platform ) (QISRSCCM01)</t>
  </si>
  <si>
    <t>SDR-0005 User added to local administrator</t>
  </si>
  <si>
    <t>Service Stopped of (Fidelis Endpoint Protection) (ETECELKPP02.NCA.Local)</t>
  </si>
  <si>
    <t>Services Stopped</t>
  </si>
  <si>
    <t>INC#2503-22 ETEC - Service Stopped of (Trend Micro Deep Security Agent) (ETECJMPFIN01.NCA.Local).</t>
  </si>
  <si>
    <t xml:space="preserve">Accessing with EC- account without PAM </t>
  </si>
  <si>
    <t>INC#2503 -34 SD- WAF External Attack 2</t>
  </si>
  <si>
    <t>RE: Information Sharing Service Qiyas</t>
  </si>
  <si>
    <t xml:space="preserve">Trend micro vulnerability </t>
  </si>
  <si>
    <t>FW: Keycloak 10.0.0 - To 18.0.0 Is Vulnerable To Cross-Site Scripting (gateway.etec.gov.sa)</t>
  </si>
  <si>
    <t>08 RE: Install The EDR on  10.10.155.221  &gt; Follow-up</t>
  </si>
  <si>
    <t>Menwer</t>
  </si>
  <si>
    <t xml:space="preserve">RE: 08 RE: ETEC | Safe SOC | SDR – 0035 Multiple Failed Login Attempts (Brute Force) &gt; Follow-up </t>
  </si>
  <si>
    <t>RE: 08 RE: ETEC | Safe SOC | INC#2502-17 Service stopped of ( Fidelis Endpoint Platform ) &gt; Follow up with  System Team .</t>
  </si>
  <si>
    <t xml:space="preserve">08 RE: ETEC | Safe SOC | INC#2503-12 User Added to Local Administrator  </t>
  </si>
  <si>
    <t>08: RE: ETEC | Safe SOC | INC#2503-13 Service Stopped of (Trend Micro Solution Platform) (WIN-AP2JQ66KB5O)</t>
  </si>
  <si>
    <t>08 RE: ETEC | Safe SOC | INC#2503-14 SDR - 0035 Multiple Failed Login Attempts (Brute Force)</t>
  </si>
  <si>
    <t xml:space="preserve"> Justification for Not Raising a Ticket: “User Added to Local Administrator” &gt; follow up with SD Team</t>
  </si>
  <si>
    <t>08 RE: ETEC | Safe SOC | INC#2503-18 ETEC - Service Stopped of (Trend Micro Solution Platform) (ETECDBGC02.NCA.Local)</t>
  </si>
  <si>
    <t>8 :RE: ETEC | Safe SOC | INC#2503-32 ETEC - RDP Login Non-Business Hours</t>
  </si>
  <si>
    <t xml:space="preserve">INC#2503-4 SDR-0005 User added to local administrator </t>
  </si>
  <si>
    <t xml:space="preserve">INC#2503-3 SDR – 0101 internal Horizontal Port Scan </t>
  </si>
  <si>
    <t>INC#2503-06 SDR – 0035 Multiple Failed Login Attempts (Brute Force)</t>
  </si>
  <si>
    <t>INC#2503-15 SDR - 0035 Multiple Failed Login Attempts (Brute Force)</t>
  </si>
  <si>
    <t>INC#2503-16 SDR - 0035 Multiple Failed Login Attempts (Brute Force)</t>
  </si>
  <si>
    <t xml:space="preserve">Re: 08: RE: ETEC | Safe SOC | INC#2503-17 Service Stopped of (Trend Micro Deep Security Agent) (ETECBIAP03.NCA.Local) </t>
  </si>
  <si>
    <t>08 RE: ETEC | Safe SOC | INC#2503-21  ETEC - Executive Failure Logins (admin)</t>
  </si>
  <si>
    <t xml:space="preserve"> Safe SOC | INC#2503-23 ETEC - Service Stopped </t>
  </si>
  <si>
    <t>RE: 08 RE: ETEC | Safe SOC |  INC#2503-24 Internal Horizontal Port Scan</t>
  </si>
  <si>
    <t>08 RE: ETEC | Safe SOC | INC#2503-25 ETEC - Services Stopped (ETECJUMPT30.NCA.Local)</t>
  </si>
  <si>
    <t>08 RE: ETEC | Safe SOC | INC#2503-26 ETEC - Services Stopped (ETECAPPIPP04.NCA.Local)</t>
  </si>
  <si>
    <t>RE: 08 RE: ETEC | Safe SOC | INC#2503-28 ETEC - RDP Login Non-Business Hours</t>
  </si>
  <si>
    <t xml:space="preserve">08  ETEC | Safe SOC | INC#2503-29 User Added to Local Administrator </t>
  </si>
  <si>
    <t>INC#2503-36 SDR-0052 RDP Login Non-Business Hours</t>
  </si>
  <si>
    <t xml:space="preserve">RE: 08 Re: ETEC | Safe SOC | INC#2503-40 ETEC- Client Requests Malicious Website </t>
  </si>
  <si>
    <t>RE: 08 RE: ETEC | Safe SOC | RDP Login Non-Business Hours</t>
  </si>
  <si>
    <t xml:space="preserve">ETEC | Safe SOC | INC#2503-43 Proxy stopped sending logs </t>
  </si>
  <si>
    <t>INC#2503-44 ETEC - Service Stopped (ETECAPPIPP04.NCA.Local)</t>
  </si>
  <si>
    <t>08 :RE: ETEC | Safe SOC | INC#2503-45 Services Stopped (ETECSURAPP01.NCA.Local)</t>
  </si>
  <si>
    <t>08 : RE: ETEC | Safe SOC | INC#2503-46 Services Stopped (ETEC-DEVTLNDS01)</t>
  </si>
  <si>
    <t>08: RE: ETEC | Safe SOC | INC#2503-47 Service Stopped of (Trend Micro Deep Security Notifier) (ETEC-DEVTLNDS01)</t>
  </si>
  <si>
    <t xml:space="preserve">08 : RE: ETEC | Safe SOC | INC#2503-48  Proxy stopped sending logs </t>
  </si>
  <si>
    <t>08 : RE: ETEC | Safe SOC | INC#2503-49 Services Stopped (ETECAPIT03)</t>
  </si>
  <si>
    <t>RE: ETEC | Safe SOC | INC#2503-50 ETEC - Service Stopped of (Trend Micro Deep Security Notifier) (ETECAPIT03)</t>
  </si>
  <si>
    <t>Re: 08 :RE: ETEC | Safe SOC | INC#2503-51 ETEC - RDP Login Non-Business Hours</t>
  </si>
  <si>
    <t>08 : RE: ETEC | Safe SOC | INC#2503-52 ETEC - SD- EDR Detection – Svchost Running from Unusual Path</t>
  </si>
  <si>
    <t>Re: 08 : RE: ETEC | Safe SOC | INC#2503-53 ETEC - RDP Login Non-Business Hours</t>
  </si>
  <si>
    <t>08: Re: ETEC | Safe SOC | INC#2503-54 SDR - 0052 RDP Login Non-Business Hours</t>
  </si>
  <si>
    <t xml:space="preserve">08:RE: ETEC | Safe SOC | INC#2503-55 ETEC- Client Requests Malicious Website </t>
  </si>
  <si>
    <t>08: RE: ETEC | Safe SOC  INC#2503-56 | Proxy stopped sending logs</t>
  </si>
  <si>
    <t>RE: ETEC | Safe SOC | INC#2503-57 RDP Login Non-Business Hours</t>
  </si>
  <si>
    <t>Re: ETEC | Safe SOC | INC#2503-58  RDP Login Non-Business Hours</t>
  </si>
  <si>
    <t>Re: ETEC | Safe SOC | INC#2503-59  RDP Login Non-Business Hours</t>
  </si>
  <si>
    <t>ETEC | Safe SOC | RDP Login Non-Business Hours</t>
  </si>
  <si>
    <t xml:space="preserve">ETEC | Safe SOC | INC#2503-61 User Added to Local Administrator </t>
  </si>
  <si>
    <t>RE: 08 Re: ETEC | Safe SOC | Internal Horizontal Port Scan</t>
  </si>
  <si>
    <t>RE: VMware ESXi Zero-Day Vulnerability</t>
  </si>
  <si>
    <t>RE: VMware ESXi Zero-Day Vulnerability &gt; Follow-up</t>
  </si>
  <si>
    <t xml:space="preserve">RE: Custom SIEM logs </t>
  </si>
  <si>
    <t>Email server - check and resolve the reimage issue with infra team</t>
  </si>
  <si>
    <t>Abdullah</t>
  </si>
  <si>
    <t>Share the VA temp report with Sami.</t>
  </si>
  <si>
    <t>Reporting</t>
  </si>
  <si>
    <t>Create a filter in mail gateway with Block Reason: Impostor Spam.</t>
  </si>
  <si>
    <t>Sec Policy Changes</t>
  </si>
  <si>
    <t>Review the Proofpoint specification booklet with Muta'ab.</t>
  </si>
  <si>
    <t>Sec Solution Administration</t>
  </si>
  <si>
    <t>Share the TM SCUT of March 2025 requested by the support team.</t>
  </si>
  <si>
    <t>Sec Support</t>
  </si>
  <si>
    <t xml:space="preserve"> Resolve the access issue to hfm.etemad.sa.</t>
  </si>
  <si>
    <t xml:space="preserve"> Analyze the suspected macro and notify the recipient of the analysis result.</t>
  </si>
  <si>
    <t>Threat Analysis</t>
  </si>
  <si>
    <t xml:space="preserve"> Block all suspicious emails reported on 4th March.</t>
  </si>
  <si>
    <t xml:space="preserve"> Block all suspicious emails reported on 8th March.</t>
  </si>
  <si>
    <t xml:space="preserve"> Share cyber statistics for the first week of March.</t>
  </si>
  <si>
    <t xml:space="preserve"> Check the WAF logs issue.</t>
  </si>
  <si>
    <t xml:space="preserve"> Resolve Knowbe4 account issue correction.</t>
  </si>
  <si>
    <t xml:space="preserve"> Write the proxy booklet.</t>
  </si>
  <si>
    <t xml:space="preserve"> Visit Engineer Raed and agree on the mechanism for the IAM system.</t>
  </si>
  <si>
    <t>Architect Review</t>
  </si>
  <si>
    <t xml:space="preserve"> ESA MID (18300701) By Ayman Alzayed - Review the email content and check for any suspicious activities, release the email if no impact is found.</t>
  </si>
  <si>
    <t xml:space="preserve"> ESA MID (18352020) By Ayman Alzayed - Review the email content and check for any suspicious activities, release the email if no impact is found.</t>
  </si>
  <si>
    <t xml:space="preserve"> ESA MID (18311381) By Ayman Alzayed - Review the email content and check for any suspicious activities, release the email if no impact is found.</t>
  </si>
  <si>
    <t xml:space="preserve"> Request to block malicious IPs targeting e-services.</t>
  </si>
  <si>
    <t xml:space="preserve"> Attend the session Proofpoint - session 1 in March.</t>
  </si>
  <si>
    <t xml:space="preserve"> Attend the session XtraHop BOQ Review.</t>
  </si>
  <si>
    <t xml:space="preserve"> Attend the meeting for the supply and installation of the system for reviewing the network protection device settings, policies, and licenses associated with them.</t>
  </si>
  <si>
    <t xml:space="preserve"> Attend the session Proofpoint - session 2 in March.</t>
  </si>
  <si>
    <t xml:space="preserve"> Attend the session for FortiProxy PoC.</t>
  </si>
  <si>
    <t xml:space="preserve"> Attend the session Proofpoint - session 3 in March.</t>
  </si>
  <si>
    <t xml:space="preserve"> Attend the session Proofpoint - session 4 in March.</t>
  </si>
  <si>
    <t>Resolve the alert issue of Proofpoint.</t>
  </si>
  <si>
    <t xml:space="preserve"> Investigate bad behavior on all servers within VLAN 172.</t>
  </si>
  <si>
    <t xml:space="preserve"> Investigate bad behavior in PC CBT-Adail.</t>
  </si>
  <si>
    <t xml:space="preserve"> Write a script to find the city for each IP.</t>
  </si>
  <si>
    <t xml:space="preserve"> Share statistics from Cloudflare as requested by Nasser.</t>
  </si>
  <si>
    <t xml:space="preserve"> Block all suspicious emails reported on 11th March.</t>
  </si>
  <si>
    <t xml:space="preserve"> Block all suspicious emails reported on 18th March.</t>
  </si>
  <si>
    <t xml:space="preserve"> Block all suspicious emails reported on 27th March.</t>
  </si>
  <si>
    <t xml:space="preserve"> ESA MID (18551376) By Ayman Alzayed - Review the email content and check for any suspicious activities, release the email if no impact is found.</t>
  </si>
  <si>
    <t xml:space="preserve"> ESA MID (18598215) By R. Nujaym - Review the email content and check for any suspicious activities, release the email if no impact is found.</t>
  </si>
  <si>
    <t xml:space="preserve"> Resolve email issues reported by Omar Aqeel.</t>
  </si>
  <si>
    <t xml:space="preserve"> Message size restriction policy implementation for Proofpoint.</t>
  </si>
  <si>
    <t xml:space="preserve"> Restriction on protected attachments policy implementation for Proofpoint.</t>
  </si>
  <si>
    <t xml:space="preserve"> Restriction on executable attachments policy implementation for Proofpoint.</t>
  </si>
  <si>
    <t xml:space="preserve"> ESA MID (18665612) By Ayman Alzayed - Review the email content and check for any suspicious activities, release the email if no impact is found.</t>
  </si>
  <si>
    <t xml:space="preserve"> ESA MID (18623402) By Omar Aqeel - Review the email content and check for any suspicious activities, release the email if no impact is found.</t>
  </si>
  <si>
    <t xml:space="preserve"> ESA MID (18816545) By R. Nujaym - Review the email content and check for any suspicious activities, release the email if no impact is found.</t>
  </si>
  <si>
    <t xml:space="preserve"> Attend the session Proofpoint - session 5 in March.</t>
  </si>
  <si>
    <t xml:space="preserve"> Session to troubleshoot the EDR logs.</t>
  </si>
  <si>
    <t xml:space="preserve"> Attend the session Proofpoint - session 6 in March.</t>
  </si>
  <si>
    <t>Check the NTP setting with AlZainah.</t>
  </si>
  <si>
    <t>Count all Apache folders and files the server requested by GRC.</t>
  </si>
  <si>
    <t>Compliance</t>
  </si>
  <si>
    <t>Share all details about email and exchange server details with the PT team.</t>
  </si>
  <si>
    <t xml:space="preserve"> Resolve the access issue for the GRC team to the Quyales system.</t>
  </si>
  <si>
    <t xml:space="preserve"> Observe the behaviors from 10.1.201.155.</t>
  </si>
  <si>
    <t xml:space="preserve"> FortiProxy - Approve the end-user certificate.</t>
  </si>
  <si>
    <t xml:space="preserve"> Check Security Alert - Oracle Cloud.</t>
  </si>
  <si>
    <t xml:space="preserve"> Attend the session DLP implementation.</t>
  </si>
  <si>
    <t xml:space="preserve"> Attend the session Custom SIEM logs.</t>
  </si>
  <si>
    <t xml:space="preserve"> Create a new Citrix setting and account.</t>
  </si>
  <si>
    <t xml:space="preserve"> Verify all WAF IPs and check their logs in SIEM.</t>
  </si>
  <si>
    <t xml:space="preserve"> Review all the vulnerabilities mentioned, most of which relate to (Redirect Vulnerability) on the following framework(ILIAS eLearning,Mosparo)</t>
  </si>
  <si>
    <t>Vulnerabilities</t>
  </si>
  <si>
    <t xml:space="preserve"> Focus monitoring on the main site system.</t>
  </si>
  <si>
    <t xml:space="preserve"> Review certificate issues in MX.</t>
  </si>
  <si>
    <t xml:space="preserve"> Resolve the email stop issue for the addresses (b.alkhayyal and A.Qaoud).</t>
  </si>
  <si>
    <t xml:space="preserve"> EDR - Enable Blocking Mode on Workstations.</t>
  </si>
  <si>
    <t>Sec Implementation</t>
  </si>
  <si>
    <t xml:space="preserve"> Request for monitoring and testing detection in SIEM.</t>
  </si>
  <si>
    <t xml:space="preserve"> ESA MID (18923688) By Ayman Alzayed - Review the email content and check for any suspicious activities, release the email if no impact is found.</t>
  </si>
  <si>
    <t xml:space="preserve"> Report to NCA about the outage with our public services.</t>
  </si>
  <si>
    <t xml:space="preserve"> ESA MID (18953922) By Mohammad F. Al-Bolaihess - Review the email content and check for any suspicious activities, release the email if no impact is found.</t>
  </si>
  <si>
    <t xml:space="preserve"> ESA MID (18952423) By Fathima M Jaffari - Review the email content and check for any suspicious activities, release the email if no impact is found.</t>
  </si>
  <si>
    <t xml:space="preserve"> Allow the required access for Social Engineering with HelpAG for the year 2025.</t>
  </si>
  <si>
    <t xml:space="preserve"> ESA MID (18987609) By Ayman Alzayed - Review the email content and check for any suspicious activities, release the email if no impact is found.</t>
  </si>
  <si>
    <t xml:space="preserve"> Attend the session Custom SIEM logs session 2.</t>
  </si>
  <si>
    <t xml:space="preserve"> RedSeal Introduction.</t>
  </si>
  <si>
    <t>The Kiteworks deployment consists of 6 VMs which we will deploy on Hyper-V</t>
  </si>
  <si>
    <t>M.Aqily</t>
  </si>
  <si>
    <t>Sec Implemnt</t>
  </si>
  <si>
    <t>Kiteworks OVA installe and Deploy VMs on Hyper V</t>
  </si>
  <si>
    <t>Kiteworks Hyper-V Confgurations - Reserve the dedicated IPs for each VM - Ensure connectivity requirements are in place</t>
  </si>
  <si>
    <t xml:space="preserve">Kiteworks Hyper-V license </t>
  </si>
  <si>
    <t>Join the VMs together in one system and .Do application level configurations (LDAP authentication, SMTP relay, customizing of design, set rules/policies etc.)</t>
  </si>
  <si>
    <t>Publish system to the internet</t>
  </si>
  <si>
    <t>Engineers</t>
  </si>
  <si>
    <t>Tasks Total</t>
  </si>
  <si>
    <t>Name</t>
  </si>
  <si>
    <t>Services Lists</t>
  </si>
  <si>
    <t>Weeks</t>
  </si>
  <si>
    <t>FCR</t>
  </si>
  <si>
    <t>Abeer</t>
  </si>
  <si>
    <t>VPN</t>
  </si>
  <si>
    <t>M. Askar</t>
  </si>
  <si>
    <t>USB / CD</t>
  </si>
  <si>
    <t>Ibrahim</t>
  </si>
  <si>
    <t>URL Filtering</t>
  </si>
  <si>
    <t>Services</t>
  </si>
  <si>
    <t>Count</t>
  </si>
  <si>
    <t>Sec Control Modifications</t>
  </si>
  <si>
    <t xml:space="preserve">Architect Review </t>
  </si>
  <si>
    <t>Review Cyber Control</t>
  </si>
  <si>
    <t>NA</t>
  </si>
  <si>
    <t>Sec Comparison</t>
  </si>
  <si>
    <t>New HLD</t>
  </si>
  <si>
    <t>NA2</t>
  </si>
  <si>
    <t>New LLD</t>
  </si>
  <si>
    <t>Total</t>
  </si>
  <si>
    <t>CAB</t>
  </si>
  <si>
    <t>IT Infra Review</t>
  </si>
  <si>
    <t>CR</t>
  </si>
  <si>
    <t>BRD</t>
  </si>
  <si>
    <t>Encrypted FLASH</t>
  </si>
  <si>
    <t>Nasser Q1</t>
  </si>
  <si>
    <t>BRD/CR</t>
  </si>
  <si>
    <t>Request/Oprders/MGT</t>
  </si>
  <si>
    <t>Teams Tasks Q1</t>
  </si>
  <si>
    <t>Cyber Actions</t>
  </si>
  <si>
    <t>Meetings</t>
  </si>
  <si>
    <t>Cyber INFRA/ OPS / TICH</t>
  </si>
  <si>
    <t>TOTAL Q1 TASKs</t>
  </si>
  <si>
    <t># of Task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</si>
</sst>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4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0"/>
      <name val="Arial"/>
      <family val="2"/>
    </font>
    <font>
      <sz val="16"/>
      <color rgb="FF000000"/>
      <name val="Arial"/>
      <family val="2"/>
    </font>
    <font>
      <b/>
      <sz val="22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8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rgb="FFFF0000"/>
      <name val="Arial"/>
      <family val="2"/>
    </font>
    <font>
      <b/>
      <sz val="11"/>
      <color rgb="FF3F3F3F"/>
      <name val="Calibri"/>
      <family val="2"/>
      <scheme val="minor"/>
    </font>
    <font>
      <sz val="14"/>
      <color rgb="FF000000"/>
      <name val="Arial"/>
      <family val="2"/>
    </font>
    <font>
      <sz val="16"/>
      <color rgb="FF000000"/>
      <name val="Arial"/>
      <charset val="1"/>
    </font>
    <font>
      <sz val="14"/>
      <color rgb="FF000000"/>
      <name val="Arial"/>
    </font>
    <font>
      <sz val="14"/>
      <color rgb="FF000000"/>
      <name val="Arial"/>
      <charset val="1"/>
    </font>
    <font>
      <sz val="16"/>
      <color rgb="FF000000"/>
      <name val="Arial"/>
    </font>
    <font>
      <b/>
      <sz val="16"/>
      <color rgb="FF000000"/>
      <name val="Arial"/>
    </font>
    <font>
      <b/>
      <sz val="16"/>
      <color rgb="FF000000"/>
      <name val="Arial"/>
      <family val="2"/>
    </font>
    <font>
      <sz val="16"/>
      <color rgb="FFFFFFFF"/>
      <name val="Arial"/>
      <family val="2"/>
    </font>
    <font>
      <sz val="16"/>
      <color rgb="FF9C6500"/>
      <name val="Arial"/>
      <family val="2"/>
    </font>
    <font>
      <sz val="16"/>
      <color rgb="FF9C0006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FFE7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548235"/>
        <bgColor rgb="FF000000"/>
      </patternFill>
    </fill>
    <fill>
      <patternFill patternType="solid">
        <fgColor rgb="FFFFEB9C"/>
        <bgColor rgb="FF000000"/>
      </patternFill>
    </fill>
    <fill>
      <patternFill patternType="solid">
        <fgColor rgb="FFFFC7CE"/>
        <bgColor rgb="FF000000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4" applyNumberFormat="0" applyAlignment="0" applyProtection="0"/>
    <xf numFmtId="0" fontId="5" fillId="8" borderId="5" applyNumberFormat="0" applyAlignment="0" applyProtection="0"/>
    <xf numFmtId="0" fontId="6" fillId="10" borderId="0" applyNumberFormat="0" applyBorder="0" applyAlignment="0" applyProtection="0"/>
    <xf numFmtId="0" fontId="21" fillId="19" borderId="22" applyNumberFormat="0" applyFont="0" applyAlignment="0" applyProtection="0"/>
    <xf numFmtId="0" fontId="24" fillId="20" borderId="23" applyNumberFormat="0" applyAlignment="0" applyProtection="0"/>
  </cellStyleXfs>
  <cellXfs count="10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7" fillId="9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0" fontId="13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vertical="center"/>
    </xf>
    <xf numFmtId="0" fontId="1" fillId="9" borderId="9" xfId="0" applyFont="1" applyFill="1" applyBorder="1" applyAlignment="1">
      <alignment vertical="center"/>
    </xf>
    <xf numFmtId="0" fontId="1" fillId="9" borderId="11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11" fillId="15" borderId="16" xfId="0" applyFont="1" applyFill="1" applyBorder="1" applyAlignment="1">
      <alignment horizontal="center" vertical="center"/>
    </xf>
    <xf numFmtId="0" fontId="15" fillId="17" borderId="19" xfId="0" applyFont="1" applyFill="1" applyBorder="1"/>
    <xf numFmtId="0" fontId="15" fillId="17" borderId="19" xfId="0" applyFont="1" applyFill="1" applyBorder="1" applyAlignment="1">
      <alignment wrapText="1"/>
    </xf>
    <xf numFmtId="0" fontId="1" fillId="0" borderId="0" xfId="0" applyFont="1" applyAlignment="1">
      <alignment horizontal="center"/>
    </xf>
    <xf numFmtId="0" fontId="1" fillId="9" borderId="9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6" fillId="6" borderId="15" xfId="2" applyFont="1" applyBorder="1" applyAlignment="1"/>
    <xf numFmtId="0" fontId="17" fillId="2" borderId="15" xfId="0" applyFont="1" applyFill="1" applyBorder="1" applyAlignment="1">
      <alignment horizontal="left" vertical="center"/>
    </xf>
    <xf numFmtId="0" fontId="18" fillId="12" borderId="15" xfId="1" applyFont="1" applyFill="1" applyBorder="1" applyAlignment="1">
      <alignment vertical="center"/>
    </xf>
    <xf numFmtId="0" fontId="18" fillId="4" borderId="15" xfId="5" applyFont="1" applyFill="1" applyBorder="1" applyAlignment="1">
      <alignment vertical="center"/>
    </xf>
    <xf numFmtId="0" fontId="18" fillId="11" borderId="15" xfId="3" applyFont="1" applyFill="1" applyBorder="1" applyAlignment="1">
      <alignment vertical="center"/>
    </xf>
    <xf numFmtId="0" fontId="12" fillId="13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center" vertical="center"/>
    </xf>
    <xf numFmtId="0" fontId="12" fillId="18" borderId="1" xfId="0" applyFont="1" applyFill="1" applyBorder="1"/>
    <xf numFmtId="0" fontId="20" fillId="18" borderId="5" xfId="4" applyFont="1" applyFill="1"/>
    <xf numFmtId="0" fontId="12" fillId="2" borderId="21" xfId="0" applyFont="1" applyFill="1" applyBorder="1" applyAlignment="1">
      <alignment horizontal="center" vertical="center"/>
    </xf>
    <xf numFmtId="0" fontId="12" fillId="9" borderId="1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22" fillId="16" borderId="1" xfId="0" applyFont="1" applyFill="1" applyBorder="1" applyAlignment="1">
      <alignment horizontal="center" vertical="center"/>
    </xf>
    <xf numFmtId="0" fontId="12" fillId="13" borderId="1" xfId="0" applyFont="1" applyFill="1" applyBorder="1"/>
    <xf numFmtId="0" fontId="23" fillId="19" borderId="1" xfId="6" applyFont="1" applyBorder="1"/>
    <xf numFmtId="0" fontId="12" fillId="13" borderId="15" xfId="0" applyFont="1" applyFill="1" applyBorder="1"/>
    <xf numFmtId="0" fontId="24" fillId="20" borderId="23" xfId="7"/>
    <xf numFmtId="0" fontId="24" fillId="20" borderId="23" xfId="7" applyAlignment="1">
      <alignment horizontal="center"/>
    </xf>
    <xf numFmtId="0" fontId="20" fillId="20" borderId="23" xfId="7" applyFont="1" applyAlignment="1">
      <alignment horizontal="center"/>
    </xf>
    <xf numFmtId="0" fontId="24" fillId="20" borderId="23" xfId="7" applyAlignment="1">
      <alignment horizontal="left"/>
    </xf>
    <xf numFmtId="0" fontId="25" fillId="17" borderId="18" xfId="0" applyFont="1" applyFill="1" applyBorder="1"/>
    <xf numFmtId="0" fontId="25" fillId="17" borderId="25" xfId="0" applyFont="1" applyFill="1" applyBorder="1"/>
    <xf numFmtId="0" fontId="15" fillId="17" borderId="1" xfId="0" applyFont="1" applyFill="1" applyBorder="1"/>
    <xf numFmtId="0" fontId="25" fillId="17" borderId="25" xfId="0" applyFont="1" applyFill="1" applyBorder="1" applyAlignment="1">
      <alignment wrapText="1"/>
    </xf>
    <xf numFmtId="0" fontId="15" fillId="17" borderId="1" xfId="0" applyFont="1" applyFill="1" applyBorder="1" applyAlignment="1">
      <alignment wrapText="1"/>
    </xf>
    <xf numFmtId="49" fontId="12" fillId="2" borderId="1" xfId="0" applyNumberFormat="1" applyFont="1" applyFill="1" applyBorder="1" applyAlignment="1">
      <alignment horizontal="center" vertical="center"/>
    </xf>
    <xf numFmtId="0" fontId="27" fillId="17" borderId="25" xfId="0" applyFont="1" applyFill="1" applyBorder="1"/>
    <xf numFmtId="0" fontId="15" fillId="17" borderId="19" xfId="0" applyFont="1" applyFill="1" applyBorder="1" applyAlignment="1">
      <alignment wrapText="1" readingOrder="2"/>
    </xf>
    <xf numFmtId="0" fontId="25" fillId="17" borderId="25" xfId="0" applyFont="1" applyFill="1" applyBorder="1" applyAlignment="1">
      <alignment horizontal="left"/>
    </xf>
    <xf numFmtId="0" fontId="25" fillId="17" borderId="1" xfId="0" applyFont="1" applyFill="1" applyBorder="1" applyAlignment="1">
      <alignment wrapText="1"/>
    </xf>
    <xf numFmtId="0" fontId="25" fillId="17" borderId="19" xfId="0" applyFont="1" applyFill="1" applyBorder="1" applyAlignment="1">
      <alignment wrapText="1"/>
    </xf>
    <xf numFmtId="0" fontId="15" fillId="22" borderId="26" xfId="0" applyFont="1" applyFill="1" applyBorder="1"/>
    <xf numFmtId="0" fontId="8" fillId="16" borderId="14" xfId="0" applyFont="1" applyFill="1" applyBorder="1" applyAlignment="1">
      <alignment vertical="center"/>
    </xf>
    <xf numFmtId="0" fontId="12" fillId="14" borderId="17" xfId="0" applyFont="1" applyFill="1" applyBorder="1" applyAlignment="1">
      <alignment vertical="center"/>
    </xf>
    <xf numFmtId="0" fontId="15" fillId="21" borderId="15" xfId="0" applyFont="1" applyFill="1" applyBorder="1" applyAlignment="1">
      <alignment horizontal="center" vertical="center"/>
    </xf>
    <xf numFmtId="0" fontId="15" fillId="21" borderId="27" xfId="0" applyFont="1" applyFill="1" applyBorder="1" applyAlignment="1">
      <alignment horizontal="center" vertical="center"/>
    </xf>
    <xf numFmtId="0" fontId="15" fillId="17" borderId="19" xfId="0" applyFont="1" applyFill="1" applyBorder="1" applyAlignment="1">
      <alignment horizontal="left"/>
    </xf>
    <xf numFmtId="0" fontId="15" fillId="17" borderId="19" xfId="0" applyFont="1" applyFill="1" applyBorder="1" applyAlignment="1">
      <alignment horizontal="left" wrapText="1"/>
    </xf>
    <xf numFmtId="0" fontId="26" fillId="0" borderId="0" xfId="0" applyFont="1" applyAlignment="1">
      <alignment horizontal="left"/>
    </xf>
    <xf numFmtId="0" fontId="15" fillId="17" borderId="19" xfId="0" applyFont="1" applyFill="1" applyBorder="1" applyAlignment="1">
      <alignment vertical="top" wrapText="1"/>
    </xf>
    <xf numFmtId="0" fontId="27" fillId="17" borderId="25" xfId="0" applyFont="1" applyFill="1" applyBorder="1" applyAlignment="1">
      <alignment horizontal="left"/>
    </xf>
    <xf numFmtId="0" fontId="28" fillId="0" borderId="0" xfId="0" applyFont="1"/>
    <xf numFmtId="0" fontId="25" fillId="17" borderId="18" xfId="0" applyFont="1" applyFill="1" applyBorder="1" applyAlignment="1">
      <alignment wrapText="1"/>
    </xf>
    <xf numFmtId="0" fontId="29" fillId="17" borderId="19" xfId="0" applyFont="1" applyFill="1" applyBorder="1"/>
    <xf numFmtId="0" fontId="29" fillId="0" borderId="0" xfId="0" applyFont="1" applyAlignment="1">
      <alignment horizontal="left" vertical="top"/>
    </xf>
    <xf numFmtId="0" fontId="15" fillId="17" borderId="1" xfId="0" applyFont="1" applyFill="1" applyBorder="1" applyAlignment="1">
      <alignment horizontal="left" wrapText="1"/>
    </xf>
    <xf numFmtId="0" fontId="15" fillId="17" borderId="19" xfId="0" applyFont="1" applyFill="1" applyBorder="1" applyAlignment="1">
      <alignment horizontal="left" wrapText="1" readingOrder="2"/>
    </xf>
    <xf numFmtId="0" fontId="25" fillId="17" borderId="25" xfId="0" applyFont="1" applyFill="1" applyBorder="1" applyAlignment="1">
      <alignment horizontal="left" readingOrder="2"/>
    </xf>
    <xf numFmtId="0" fontId="15" fillId="21" borderId="15" xfId="0" applyFont="1" applyFill="1" applyBorder="1" applyAlignment="1">
      <alignment horizontal="center"/>
    </xf>
    <xf numFmtId="0" fontId="31" fillId="23" borderId="15" xfId="0" applyFont="1" applyFill="1" applyBorder="1" applyAlignment="1">
      <alignment horizontal="center"/>
    </xf>
    <xf numFmtId="0" fontId="15" fillId="22" borderId="26" xfId="0" applyFont="1" applyFill="1" applyBorder="1" applyAlignment="1">
      <alignment horizontal="center"/>
    </xf>
    <xf numFmtId="0" fontId="15" fillId="21" borderId="27" xfId="0" applyFont="1" applyFill="1" applyBorder="1" applyAlignment="1">
      <alignment horizontal="center"/>
    </xf>
    <xf numFmtId="0" fontId="31" fillId="23" borderId="27" xfId="0" applyFont="1" applyFill="1" applyBorder="1" applyAlignment="1">
      <alignment horizontal="center"/>
    </xf>
    <xf numFmtId="0" fontId="32" fillId="24" borderId="21" xfId="0" applyFont="1" applyFill="1" applyBorder="1" applyAlignment="1">
      <alignment horizontal="center"/>
    </xf>
    <xf numFmtId="0" fontId="34" fillId="26" borderId="21" xfId="0" applyFont="1" applyFill="1" applyBorder="1" applyAlignment="1">
      <alignment horizontal="center"/>
    </xf>
    <xf numFmtId="0" fontId="33" fillId="25" borderId="21" xfId="0" applyFont="1" applyFill="1" applyBorder="1" applyAlignment="1">
      <alignment horizont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16" borderId="3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19" borderId="24" xfId="6" applyFont="1" applyBorder="1" applyAlignment="1">
      <alignment horizontal="center"/>
    </xf>
    <xf numFmtId="0" fontId="23" fillId="19" borderId="15" xfId="6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20" xfId="0" applyFont="1" applyBorder="1" applyAlignment="1">
      <alignment horizontal="center"/>
    </xf>
  </cellXfs>
  <cellStyles count="8">
    <cellStyle name="Accent4" xfId="5" builtinId="41"/>
    <cellStyle name="Bad" xfId="2" builtinId="27"/>
    <cellStyle name="Check Cell" xfId="4" builtinId="23"/>
    <cellStyle name="Good" xfId="1" builtinId="26"/>
    <cellStyle name="Input" xfId="3" builtinId="20"/>
    <cellStyle name="Normal" xfId="0" builtinId="0"/>
    <cellStyle name="Note" xfId="6" builtinId="10"/>
    <cellStyle name="Output" xfId="7" builtinId="21"/>
  </cellStyles>
  <dxfs count="21"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FFE7"/>
      <color rgb="FFFEDAEE"/>
      <color rgb="FFFFFFCC"/>
      <color rgb="FFCCFFCC"/>
      <color rgb="FFFFCCFF"/>
      <color rgb="FFCCFFFF"/>
      <color rgb="FFFF8C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286800434842903E-2"/>
          <c:y val="5.6024492507644449E-2"/>
          <c:w val="0.95741335031956032"/>
          <c:h val="0.652441475008741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73D-439C-BDA1-C08A63E2DC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73D-439C-BDA1-C08A63E2DC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M. Askar</c:v>
                </c:pt>
                <c:pt idx="4">
                  <c:v>Ibrahim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NA</c:v>
                </c:pt>
                <c:pt idx="9">
                  <c:v>Amani</c:v>
                </c:pt>
                <c:pt idx="10">
                  <c:v>Menwer</c:v>
                </c:pt>
                <c:pt idx="11">
                  <c:v>NA2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75</c:v>
                </c:pt>
                <c:pt idx="1">
                  <c:v>0</c:v>
                </c:pt>
                <c:pt idx="2">
                  <c:v>36</c:v>
                </c:pt>
                <c:pt idx="3">
                  <c:v>0</c:v>
                </c:pt>
                <c:pt idx="4">
                  <c:v>0</c:v>
                </c:pt>
                <c:pt idx="5">
                  <c:v>70</c:v>
                </c:pt>
                <c:pt idx="6">
                  <c:v>50</c:v>
                </c:pt>
                <c:pt idx="7">
                  <c:v>6</c:v>
                </c:pt>
                <c:pt idx="8">
                  <c:v>0</c:v>
                </c:pt>
                <c:pt idx="9">
                  <c:v>45</c:v>
                </c:pt>
                <c:pt idx="10">
                  <c:v>57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A-4FFE-BD60-2E5C1CCC7E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9516112"/>
        <c:axId val="499521032"/>
      </c:barChart>
      <c:catAx>
        <c:axId val="4995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21032"/>
        <c:crosses val="autoZero"/>
        <c:auto val="1"/>
        <c:lblAlgn val="ctr"/>
        <c:lblOffset val="100"/>
        <c:noMultiLvlLbl val="0"/>
      </c:catAx>
      <c:valAx>
        <c:axId val="499521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95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rgbClr val="C00000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M. Askar</c:v>
                </c:pt>
                <c:pt idx="4">
                  <c:v>Ibrahim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NA</c:v>
                </c:pt>
                <c:pt idx="9">
                  <c:v>Amani</c:v>
                </c:pt>
                <c:pt idx="10">
                  <c:v>Menwer</c:v>
                </c:pt>
                <c:pt idx="11">
                  <c:v>NA2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75</c:v>
                </c:pt>
                <c:pt idx="1">
                  <c:v>0</c:v>
                </c:pt>
                <c:pt idx="2">
                  <c:v>36</c:v>
                </c:pt>
                <c:pt idx="3">
                  <c:v>0</c:v>
                </c:pt>
                <c:pt idx="4">
                  <c:v>0</c:v>
                </c:pt>
                <c:pt idx="5">
                  <c:v>70</c:v>
                </c:pt>
                <c:pt idx="6">
                  <c:v>50</c:v>
                </c:pt>
                <c:pt idx="7">
                  <c:v>6</c:v>
                </c:pt>
                <c:pt idx="8">
                  <c:v>0</c:v>
                </c:pt>
                <c:pt idx="9">
                  <c:v>45</c:v>
                </c:pt>
                <c:pt idx="10">
                  <c:v>57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6C-419A-9818-23415ABA99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4876768"/>
        <c:axId val="614877184"/>
      </c:lineChart>
      <c:catAx>
        <c:axId val="61487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877184"/>
        <c:crosses val="autoZero"/>
        <c:auto val="1"/>
        <c:lblAlgn val="ctr"/>
        <c:lblOffset val="100"/>
        <c:noMultiLvlLbl val="0"/>
      </c:catAx>
      <c:valAx>
        <c:axId val="614877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487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1</xdr:col>
      <xdr:colOff>4823909</xdr:colOff>
      <xdr:row>1</xdr:row>
      <xdr:rowOff>1308847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5243009" cy="241430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6</xdr:col>
      <xdr:colOff>238125</xdr:colOff>
      <xdr:row>10</xdr:row>
      <xdr:rowOff>266700</xdr:rowOff>
    </xdr:from>
    <xdr:to>
      <xdr:col>17</xdr:col>
      <xdr:colOff>124046</xdr:colOff>
      <xdr:row>25</xdr:row>
      <xdr:rowOff>304800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503165</xdr:colOff>
      <xdr:row>0</xdr:row>
      <xdr:rowOff>15240</xdr:rowOff>
    </xdr:from>
    <xdr:to>
      <xdr:col>9</xdr:col>
      <xdr:colOff>139156</xdr:colOff>
      <xdr:row>2</xdr:row>
      <xdr:rowOff>39982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8685" y="15240"/>
          <a:ext cx="8078951" cy="246314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6484303</xdr:colOff>
      <xdr:row>0</xdr:row>
      <xdr:rowOff>76840</xdr:rowOff>
    </xdr:from>
    <xdr:to>
      <xdr:col>1</xdr:col>
      <xdr:colOff>13412180</xdr:colOff>
      <xdr:row>1</xdr:row>
      <xdr:rowOff>1125710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924" b="17350"/>
        <a:stretch/>
      </xdr:blipFill>
      <xdr:spPr>
        <a:xfrm>
          <a:off x="6926263" y="76840"/>
          <a:ext cx="7303162" cy="216139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1744617</xdr:colOff>
      <xdr:row>0</xdr:row>
      <xdr:rowOff>354876</xdr:rowOff>
    </xdr:from>
    <xdr:to>
      <xdr:col>1</xdr:col>
      <xdr:colOff>8610600</xdr:colOff>
      <xdr:row>1</xdr:row>
      <xdr:rowOff>576944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186577" y="354876"/>
          <a:ext cx="6865983" cy="1334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SA" sz="3600" b="1" baseline="0">
              <a:solidFill>
                <a:srgbClr val="00206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إدارة عمليات الأمن السيبراني</a:t>
          </a:r>
        </a:p>
        <a:p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219075</xdr:colOff>
      <xdr:row>48</xdr:row>
      <xdr:rowOff>152400</xdr:rowOff>
    </xdr:from>
    <xdr:to>
      <xdr:col>29</xdr:col>
      <xdr:colOff>38100</xdr:colOff>
      <xdr:row>72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01"/>
  <sheetViews>
    <sheetView tabSelected="1" topLeftCell="A280" zoomScale="51" zoomScaleNormal="70" zoomScaleSheetLayoutView="85" workbookViewId="0">
      <selection activeCell="B344" sqref="B344"/>
    </sheetView>
  </sheetViews>
  <sheetFormatPr defaultColWidth="9.28515625" defaultRowHeight="13.15"/>
  <cols>
    <col min="1" max="1" width="6.28515625" style="1" bestFit="1" customWidth="1"/>
    <col min="2" max="2" width="207.5703125" style="3" bestFit="1" customWidth="1"/>
    <col min="3" max="3" width="17.28515625" style="38" customWidth="1"/>
    <col min="4" max="4" width="21.140625" style="22" customWidth="1"/>
    <col min="5" max="5" width="41.7109375" style="2" customWidth="1"/>
    <col min="6" max="6" width="21.140625" style="22" customWidth="1"/>
    <col min="7" max="7" width="4.140625" style="2" customWidth="1"/>
    <col min="8" max="8" width="38.7109375" style="2" customWidth="1"/>
    <col min="9" max="9" width="17" style="2" customWidth="1"/>
    <col min="10" max="10" width="9.85546875" style="2" customWidth="1"/>
    <col min="11" max="15" width="7.7109375" style="2" customWidth="1"/>
    <col min="16" max="16" width="3.85546875" style="2" customWidth="1"/>
    <col min="17" max="16384" width="9.28515625" style="2"/>
  </cols>
  <sheetData>
    <row r="1" spans="1:22" ht="87.75" customHeight="1">
      <c r="A1" s="12"/>
      <c r="B1" s="13"/>
      <c r="C1" s="23"/>
      <c r="D1" s="23"/>
      <c r="E1" s="13"/>
      <c r="F1" s="2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88"/>
      <c r="S1" s="88"/>
      <c r="T1" s="88"/>
      <c r="U1" s="88"/>
      <c r="V1" s="89"/>
    </row>
    <row r="2" spans="1:22" ht="104.25" customHeight="1">
      <c r="A2" s="14"/>
      <c r="B2" s="15"/>
      <c r="C2" s="24"/>
      <c r="D2" s="24"/>
      <c r="E2" s="15"/>
      <c r="F2" s="24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90"/>
      <c r="S2" s="90"/>
      <c r="T2" s="90"/>
      <c r="U2" s="90"/>
      <c r="V2" s="91"/>
    </row>
    <row r="3" spans="1:22" ht="41.45" customHeight="1">
      <c r="A3" s="17" t="s">
        <v>0</v>
      </c>
      <c r="B3" s="18" t="s">
        <v>1</v>
      </c>
      <c r="C3" s="18" t="s">
        <v>2</v>
      </c>
      <c r="D3" s="18" t="s">
        <v>3</v>
      </c>
      <c r="E3" s="59" t="s">
        <v>4</v>
      </c>
      <c r="F3" s="18" t="s">
        <v>5</v>
      </c>
      <c r="G3" s="83"/>
      <c r="H3" s="87" t="s">
        <v>6</v>
      </c>
      <c r="I3" s="87"/>
      <c r="J3" s="92"/>
      <c r="K3" s="92"/>
      <c r="L3" s="92"/>
      <c r="M3" s="92"/>
      <c r="N3" s="92"/>
      <c r="O3" s="92"/>
      <c r="P3" s="92"/>
      <c r="Q3" s="92"/>
      <c r="R3" s="90"/>
      <c r="S3" s="90"/>
      <c r="T3" s="90"/>
      <c r="U3" s="90"/>
      <c r="V3" s="91"/>
    </row>
    <row r="4" spans="1:22" ht="30" customHeight="1">
      <c r="A4" s="19">
        <v>1</v>
      </c>
      <c r="B4" s="47" t="s">
        <v>7</v>
      </c>
      <c r="C4" s="5" t="s">
        <v>8</v>
      </c>
      <c r="D4" s="7" t="s">
        <v>9</v>
      </c>
      <c r="E4" s="60" t="s">
        <v>10</v>
      </c>
      <c r="F4" s="36" t="s">
        <v>11</v>
      </c>
      <c r="G4" s="84"/>
      <c r="H4" s="26" t="s">
        <v>12</v>
      </c>
      <c r="I4" s="25">
        <f>COUNTIF(F4:F794,"Pending")</f>
        <v>1</v>
      </c>
      <c r="J4" s="92"/>
      <c r="K4" s="92"/>
      <c r="L4" s="92"/>
      <c r="M4" s="92"/>
      <c r="N4" s="92"/>
      <c r="O4" s="92"/>
      <c r="P4" s="92"/>
      <c r="Q4" s="92"/>
      <c r="R4" s="90"/>
      <c r="S4" s="90"/>
      <c r="T4" s="90"/>
      <c r="U4" s="90"/>
      <c r="V4" s="91"/>
    </row>
    <row r="5" spans="1:22" ht="30" customHeight="1">
      <c r="A5" s="19">
        <v>2</v>
      </c>
      <c r="B5" s="50" t="s">
        <v>13</v>
      </c>
      <c r="C5" s="5" t="s">
        <v>14</v>
      </c>
      <c r="D5" s="7" t="s">
        <v>9</v>
      </c>
      <c r="E5" s="60" t="s">
        <v>10</v>
      </c>
      <c r="F5" s="36" t="s">
        <v>11</v>
      </c>
      <c r="G5" s="84"/>
      <c r="H5" s="27" t="s">
        <v>15</v>
      </c>
      <c r="I5" s="25">
        <f>COUNTIF(F4:F794,"In Progress")</f>
        <v>1</v>
      </c>
      <c r="J5" s="92"/>
      <c r="K5" s="92"/>
      <c r="L5" s="92"/>
      <c r="M5" s="92"/>
      <c r="N5" s="92"/>
      <c r="O5" s="92"/>
      <c r="P5" s="92"/>
      <c r="Q5" s="92"/>
      <c r="R5" s="90"/>
      <c r="S5" s="90"/>
      <c r="T5" s="90"/>
      <c r="U5" s="90"/>
      <c r="V5" s="91"/>
    </row>
    <row r="6" spans="1:22" ht="30" customHeight="1">
      <c r="A6" s="19">
        <v>3</v>
      </c>
      <c r="B6" s="48" t="s">
        <v>16</v>
      </c>
      <c r="C6" s="5" t="s">
        <v>17</v>
      </c>
      <c r="D6" s="7" t="s">
        <v>9</v>
      </c>
      <c r="E6" s="60" t="s">
        <v>10</v>
      </c>
      <c r="F6" s="36" t="s">
        <v>11</v>
      </c>
      <c r="G6" s="84"/>
      <c r="H6" s="28" t="s">
        <v>11</v>
      </c>
      <c r="I6" s="25">
        <f>COUNTIF(F4:F794,"Completed")</f>
        <v>329</v>
      </c>
      <c r="J6" s="92"/>
      <c r="K6" s="92"/>
      <c r="L6" s="92"/>
      <c r="M6" s="92"/>
      <c r="N6" s="92"/>
      <c r="O6" s="92"/>
      <c r="P6" s="92"/>
      <c r="Q6" s="92"/>
      <c r="R6" s="90"/>
      <c r="S6" s="90"/>
      <c r="T6" s="90"/>
      <c r="U6" s="90"/>
      <c r="V6" s="91"/>
    </row>
    <row r="7" spans="1:22" ht="30" customHeight="1">
      <c r="A7" s="19">
        <v>4</v>
      </c>
      <c r="B7" s="47" t="s">
        <v>18</v>
      </c>
      <c r="C7" s="5" t="s">
        <v>14</v>
      </c>
      <c r="D7" s="7" t="s">
        <v>9</v>
      </c>
      <c r="E7" s="60" t="s">
        <v>19</v>
      </c>
      <c r="F7" s="36" t="s">
        <v>11</v>
      </c>
      <c r="G7" s="84"/>
      <c r="H7" s="29" t="s">
        <v>20</v>
      </c>
      <c r="I7" s="25">
        <f>COUNTIF(F3:F794,"Escalation ")</f>
        <v>0</v>
      </c>
      <c r="J7" s="92"/>
      <c r="K7" s="92"/>
      <c r="L7" s="92"/>
      <c r="M7" s="92"/>
      <c r="N7" s="92"/>
      <c r="O7" s="92"/>
      <c r="P7" s="92"/>
      <c r="Q7" s="92"/>
      <c r="R7" s="90"/>
      <c r="S7" s="90"/>
      <c r="T7" s="90"/>
      <c r="U7" s="90"/>
      <c r="V7" s="91"/>
    </row>
    <row r="8" spans="1:22" ht="30" customHeight="1">
      <c r="A8" s="19">
        <v>5</v>
      </c>
      <c r="B8" s="48" t="s">
        <v>21</v>
      </c>
      <c r="C8" s="5" t="s">
        <v>14</v>
      </c>
      <c r="D8" s="7" t="s">
        <v>9</v>
      </c>
      <c r="E8" s="60" t="s">
        <v>19</v>
      </c>
      <c r="F8" s="36" t="s">
        <v>11</v>
      </c>
      <c r="G8" s="84"/>
      <c r="H8" s="30" t="s">
        <v>22</v>
      </c>
      <c r="I8" s="25">
        <f>COUNTIF(F4:F794,"Hold")</f>
        <v>0</v>
      </c>
      <c r="J8" s="92"/>
      <c r="K8" s="92"/>
      <c r="L8" s="92"/>
      <c r="M8" s="92"/>
      <c r="N8" s="92"/>
      <c r="O8" s="92"/>
      <c r="P8" s="92"/>
      <c r="Q8" s="92"/>
      <c r="R8" s="90"/>
      <c r="S8" s="90"/>
      <c r="T8" s="90"/>
      <c r="U8" s="90"/>
      <c r="V8" s="91"/>
    </row>
    <row r="9" spans="1:22" ht="30" customHeight="1">
      <c r="A9" s="19">
        <v>6</v>
      </c>
      <c r="B9" s="48" t="s">
        <v>23</v>
      </c>
      <c r="C9" s="5" t="s">
        <v>14</v>
      </c>
      <c r="D9" s="7" t="s">
        <v>9</v>
      </c>
      <c r="E9" s="60" t="s">
        <v>19</v>
      </c>
      <c r="F9" s="36" t="s">
        <v>11</v>
      </c>
      <c r="G9" s="84"/>
      <c r="H9" s="8" t="s">
        <v>24</v>
      </c>
      <c r="I9" s="16">
        <f>SUM(I4:I8)</f>
        <v>331</v>
      </c>
      <c r="J9" s="92"/>
      <c r="K9" s="92"/>
      <c r="L9" s="92"/>
      <c r="M9" s="92"/>
      <c r="N9" s="92"/>
      <c r="O9" s="92"/>
      <c r="P9" s="92"/>
      <c r="Q9" s="92"/>
      <c r="R9" s="90"/>
      <c r="S9" s="90"/>
      <c r="T9" s="90"/>
      <c r="U9" s="90"/>
      <c r="V9" s="91"/>
    </row>
    <row r="10" spans="1:22" ht="30" customHeight="1">
      <c r="A10" s="19">
        <v>7</v>
      </c>
      <c r="B10" s="48" t="s">
        <v>25</v>
      </c>
      <c r="C10" s="5" t="s">
        <v>14</v>
      </c>
      <c r="D10" s="7" t="s">
        <v>9</v>
      </c>
      <c r="E10" s="60" t="s">
        <v>19</v>
      </c>
      <c r="F10" s="36" t="s">
        <v>11</v>
      </c>
      <c r="G10" s="84"/>
      <c r="H10" s="85"/>
      <c r="I10" s="85"/>
      <c r="J10" s="92"/>
      <c r="K10" s="92"/>
      <c r="L10" s="92"/>
      <c r="M10" s="92"/>
      <c r="N10" s="92"/>
      <c r="O10" s="92"/>
      <c r="P10" s="92"/>
      <c r="Q10" s="92"/>
      <c r="R10" s="90"/>
      <c r="S10" s="90"/>
      <c r="T10" s="90"/>
      <c r="U10" s="90"/>
      <c r="V10" s="91"/>
    </row>
    <row r="11" spans="1:22" ht="30" customHeight="1">
      <c r="A11" s="19">
        <v>8</v>
      </c>
      <c r="B11" s="48" t="s">
        <v>26</v>
      </c>
      <c r="C11" s="5" t="s">
        <v>14</v>
      </c>
      <c r="D11" s="7" t="s">
        <v>9</v>
      </c>
      <c r="E11" s="60" t="s">
        <v>19</v>
      </c>
      <c r="F11" s="36" t="s">
        <v>11</v>
      </c>
      <c r="G11" s="84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90"/>
      <c r="S11" s="90"/>
      <c r="T11" s="90"/>
      <c r="U11" s="90"/>
      <c r="V11" s="91"/>
    </row>
    <row r="12" spans="1:22" ht="30" customHeight="1">
      <c r="A12" s="19">
        <v>9</v>
      </c>
      <c r="B12" s="48" t="s">
        <v>27</v>
      </c>
      <c r="C12" s="5" t="s">
        <v>14</v>
      </c>
      <c r="D12" s="7" t="s">
        <v>9</v>
      </c>
      <c r="E12" s="60" t="s">
        <v>19</v>
      </c>
      <c r="F12" s="36" t="s">
        <v>11</v>
      </c>
      <c r="G12" s="84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90"/>
      <c r="S12" s="90"/>
      <c r="T12" s="90"/>
      <c r="U12" s="90"/>
      <c r="V12" s="91"/>
    </row>
    <row r="13" spans="1:22" ht="30" customHeight="1">
      <c r="A13" s="19">
        <v>10</v>
      </c>
      <c r="B13" s="48" t="s">
        <v>28</v>
      </c>
      <c r="C13" s="5" t="s">
        <v>14</v>
      </c>
      <c r="D13" s="7" t="s">
        <v>9</v>
      </c>
      <c r="E13" s="60" t="s">
        <v>19</v>
      </c>
      <c r="F13" s="36" t="s">
        <v>11</v>
      </c>
      <c r="G13" s="84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90"/>
      <c r="S13" s="90"/>
      <c r="T13" s="90"/>
      <c r="U13" s="90"/>
      <c r="V13" s="91"/>
    </row>
    <row r="14" spans="1:22" ht="30" customHeight="1">
      <c r="A14" s="19">
        <v>11</v>
      </c>
      <c r="B14" s="48" t="s">
        <v>29</v>
      </c>
      <c r="C14" s="5" t="s">
        <v>17</v>
      </c>
      <c r="D14" s="7" t="s">
        <v>9</v>
      </c>
      <c r="E14" s="60" t="s">
        <v>19</v>
      </c>
      <c r="F14" s="36" t="s">
        <v>11</v>
      </c>
      <c r="G14" s="84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90"/>
      <c r="S14" s="90"/>
      <c r="T14" s="90"/>
      <c r="U14" s="90"/>
      <c r="V14" s="91"/>
    </row>
    <row r="15" spans="1:22" ht="30" customHeight="1">
      <c r="A15" s="19">
        <v>12</v>
      </c>
      <c r="B15" s="48" t="s">
        <v>30</v>
      </c>
      <c r="C15" s="5" t="s">
        <v>17</v>
      </c>
      <c r="D15" s="7" t="s">
        <v>9</v>
      </c>
      <c r="E15" s="60" t="s">
        <v>19</v>
      </c>
      <c r="F15" s="36" t="s">
        <v>11</v>
      </c>
      <c r="G15" s="84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90"/>
      <c r="S15" s="90"/>
      <c r="T15" s="90"/>
      <c r="U15" s="90"/>
      <c r="V15" s="91"/>
    </row>
    <row r="16" spans="1:22" ht="30" customHeight="1">
      <c r="A16" s="19">
        <v>13</v>
      </c>
      <c r="B16" s="48" t="s">
        <v>31</v>
      </c>
      <c r="C16" s="5" t="s">
        <v>17</v>
      </c>
      <c r="D16" s="7" t="s">
        <v>9</v>
      </c>
      <c r="E16" s="60" t="s">
        <v>19</v>
      </c>
      <c r="F16" s="36" t="s">
        <v>11</v>
      </c>
      <c r="G16" s="84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90"/>
      <c r="S16" s="90"/>
      <c r="T16" s="90"/>
      <c r="U16" s="90"/>
      <c r="V16" s="91"/>
    </row>
    <row r="17" spans="1:22" ht="30" customHeight="1">
      <c r="A17" s="19">
        <v>14</v>
      </c>
      <c r="B17" s="48" t="s">
        <v>32</v>
      </c>
      <c r="C17" s="5" t="s">
        <v>17</v>
      </c>
      <c r="D17" s="7" t="s">
        <v>9</v>
      </c>
      <c r="E17" s="60" t="s">
        <v>19</v>
      </c>
      <c r="F17" s="36" t="s">
        <v>11</v>
      </c>
      <c r="G17" s="84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90"/>
      <c r="S17" s="90"/>
      <c r="T17" s="90"/>
      <c r="U17" s="90"/>
      <c r="V17" s="91"/>
    </row>
    <row r="18" spans="1:22" ht="30" customHeight="1">
      <c r="A18" s="19">
        <v>15</v>
      </c>
      <c r="B18" s="47" t="s">
        <v>33</v>
      </c>
      <c r="C18" s="5" t="s">
        <v>17</v>
      </c>
      <c r="D18" s="7" t="s">
        <v>9</v>
      </c>
      <c r="E18" s="60" t="s">
        <v>19</v>
      </c>
      <c r="F18" s="36" t="s">
        <v>11</v>
      </c>
      <c r="G18" s="84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90"/>
      <c r="S18" s="90"/>
      <c r="T18" s="90"/>
      <c r="U18" s="90"/>
      <c r="V18" s="91"/>
    </row>
    <row r="19" spans="1:22" ht="30" customHeight="1">
      <c r="A19" s="19">
        <v>16</v>
      </c>
      <c r="B19" s="48" t="s">
        <v>34</v>
      </c>
      <c r="C19" s="5" t="s">
        <v>17</v>
      </c>
      <c r="D19" s="7" t="s">
        <v>9</v>
      </c>
      <c r="E19" s="60" t="s">
        <v>19</v>
      </c>
      <c r="F19" s="36" t="s">
        <v>11</v>
      </c>
      <c r="G19" s="84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90"/>
      <c r="S19" s="90"/>
      <c r="T19" s="90"/>
      <c r="U19" s="90"/>
      <c r="V19" s="91"/>
    </row>
    <row r="20" spans="1:22" ht="30" customHeight="1">
      <c r="A20" s="19">
        <v>17</v>
      </c>
      <c r="B20" s="48" t="s">
        <v>35</v>
      </c>
      <c r="C20" s="5" t="s">
        <v>17</v>
      </c>
      <c r="D20" s="7" t="s">
        <v>9</v>
      </c>
      <c r="E20" s="60" t="s">
        <v>19</v>
      </c>
      <c r="F20" s="36" t="s">
        <v>11</v>
      </c>
      <c r="G20" s="84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90"/>
      <c r="S20" s="90"/>
      <c r="T20" s="90"/>
      <c r="U20" s="90"/>
      <c r="V20" s="91"/>
    </row>
    <row r="21" spans="1:22" ht="30" customHeight="1">
      <c r="A21" s="19">
        <v>18</v>
      </c>
      <c r="B21" s="48" t="s">
        <v>36</v>
      </c>
      <c r="C21" s="5" t="s">
        <v>17</v>
      </c>
      <c r="D21" s="7" t="s">
        <v>9</v>
      </c>
      <c r="E21" s="60" t="s">
        <v>19</v>
      </c>
      <c r="F21" s="36" t="s">
        <v>11</v>
      </c>
      <c r="G21" s="84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90"/>
      <c r="S21" s="90"/>
      <c r="T21" s="90"/>
      <c r="U21" s="90"/>
      <c r="V21" s="91"/>
    </row>
    <row r="22" spans="1:22" ht="30" customHeight="1">
      <c r="A22" s="19">
        <v>19</v>
      </c>
      <c r="B22" s="48" t="s">
        <v>37</v>
      </c>
      <c r="C22" s="5" t="s">
        <v>17</v>
      </c>
      <c r="D22" s="7" t="s">
        <v>9</v>
      </c>
      <c r="E22" s="60" t="s">
        <v>19</v>
      </c>
      <c r="F22" s="36" t="s">
        <v>11</v>
      </c>
      <c r="G22" s="84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90"/>
      <c r="S22" s="90"/>
      <c r="T22" s="90"/>
      <c r="U22" s="90"/>
      <c r="V22" s="91"/>
    </row>
    <row r="23" spans="1:22" ht="30" customHeight="1">
      <c r="A23" s="19">
        <v>20</v>
      </c>
      <c r="B23" s="48" t="s">
        <v>38</v>
      </c>
      <c r="C23" s="5" t="s">
        <v>17</v>
      </c>
      <c r="D23" s="7" t="s">
        <v>9</v>
      </c>
      <c r="E23" s="60" t="s">
        <v>19</v>
      </c>
      <c r="F23" s="36" t="s">
        <v>11</v>
      </c>
      <c r="G23" s="84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90"/>
      <c r="S23" s="90"/>
      <c r="T23" s="90"/>
      <c r="U23" s="90"/>
      <c r="V23" s="91"/>
    </row>
    <row r="24" spans="1:22" ht="30" customHeight="1">
      <c r="A24" s="19">
        <v>21</v>
      </c>
      <c r="B24" s="47" t="s">
        <v>39</v>
      </c>
      <c r="C24" s="5" t="s">
        <v>8</v>
      </c>
      <c r="D24" s="7" t="s">
        <v>9</v>
      </c>
      <c r="E24" s="60" t="s">
        <v>40</v>
      </c>
      <c r="F24" s="36" t="s">
        <v>11</v>
      </c>
      <c r="G24" s="84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90"/>
      <c r="S24" s="90"/>
      <c r="T24" s="90"/>
      <c r="U24" s="90"/>
      <c r="V24" s="91"/>
    </row>
    <row r="25" spans="1:22" ht="30" customHeight="1">
      <c r="A25" s="19">
        <v>22</v>
      </c>
      <c r="B25" s="48" t="s">
        <v>41</v>
      </c>
      <c r="C25" s="5" t="s">
        <v>8</v>
      </c>
      <c r="D25" s="7" t="s">
        <v>9</v>
      </c>
      <c r="E25" s="60" t="s">
        <v>40</v>
      </c>
      <c r="F25" s="36" t="s">
        <v>11</v>
      </c>
      <c r="G25" s="84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90"/>
      <c r="S25" s="90"/>
      <c r="T25" s="90"/>
      <c r="U25" s="90"/>
      <c r="V25" s="91"/>
    </row>
    <row r="26" spans="1:22" ht="30" customHeight="1">
      <c r="A26" s="19">
        <v>23</v>
      </c>
      <c r="B26" s="48" t="s">
        <v>42</v>
      </c>
      <c r="C26" s="5" t="s">
        <v>8</v>
      </c>
      <c r="D26" s="7" t="s">
        <v>9</v>
      </c>
      <c r="E26" s="60" t="s">
        <v>40</v>
      </c>
      <c r="F26" s="36" t="s">
        <v>11</v>
      </c>
      <c r="G26" s="84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90"/>
      <c r="S26" s="90"/>
      <c r="T26" s="90"/>
      <c r="U26" s="90"/>
      <c r="V26" s="91"/>
    </row>
    <row r="27" spans="1:22" ht="30" customHeight="1">
      <c r="A27" s="19">
        <v>24</v>
      </c>
      <c r="B27" s="48" t="s">
        <v>43</v>
      </c>
      <c r="C27" s="5" t="s">
        <v>8</v>
      </c>
      <c r="D27" s="7" t="s">
        <v>9</v>
      </c>
      <c r="E27" s="60" t="s">
        <v>40</v>
      </c>
      <c r="F27" s="36" t="s">
        <v>11</v>
      </c>
      <c r="G27" s="84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90"/>
      <c r="S27" s="90"/>
      <c r="T27" s="90"/>
      <c r="U27" s="90"/>
      <c r="V27" s="91"/>
    </row>
    <row r="28" spans="1:22" ht="30" customHeight="1">
      <c r="A28" s="19">
        <v>25</v>
      </c>
      <c r="B28" s="48" t="s">
        <v>39</v>
      </c>
      <c r="C28" s="5" t="s">
        <v>17</v>
      </c>
      <c r="D28" s="7" t="s">
        <v>9</v>
      </c>
      <c r="E28" s="60" t="s">
        <v>40</v>
      </c>
      <c r="F28" s="36" t="s">
        <v>11</v>
      </c>
      <c r="G28" s="84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90"/>
      <c r="S28" s="90"/>
      <c r="T28" s="90"/>
      <c r="U28" s="90"/>
      <c r="V28" s="91"/>
    </row>
    <row r="29" spans="1:22" ht="30" customHeight="1">
      <c r="A29" s="19">
        <v>26</v>
      </c>
      <c r="B29" s="48" t="s">
        <v>41</v>
      </c>
      <c r="C29" s="5" t="s">
        <v>17</v>
      </c>
      <c r="D29" s="7" t="s">
        <v>9</v>
      </c>
      <c r="E29" s="60" t="s">
        <v>40</v>
      </c>
      <c r="F29" s="36" t="s">
        <v>11</v>
      </c>
      <c r="G29" s="84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90"/>
      <c r="S29" s="90"/>
      <c r="T29" s="90"/>
      <c r="U29" s="90"/>
      <c r="V29" s="91"/>
    </row>
    <row r="30" spans="1:22" ht="30" customHeight="1">
      <c r="A30" s="19">
        <v>27</v>
      </c>
      <c r="B30" s="48" t="s">
        <v>42</v>
      </c>
      <c r="C30" s="5" t="s">
        <v>17</v>
      </c>
      <c r="D30" s="7" t="s">
        <v>9</v>
      </c>
      <c r="E30" s="60" t="s">
        <v>40</v>
      </c>
      <c r="F30" s="36" t="s">
        <v>11</v>
      </c>
      <c r="G30" s="84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90"/>
      <c r="S30" s="90"/>
      <c r="T30" s="90"/>
      <c r="U30" s="90"/>
      <c r="V30" s="91"/>
    </row>
    <row r="31" spans="1:22" ht="30" customHeight="1">
      <c r="A31" s="19">
        <v>28</v>
      </c>
      <c r="B31" s="48" t="s">
        <v>43</v>
      </c>
      <c r="C31" s="5" t="s">
        <v>17</v>
      </c>
      <c r="D31" s="7" t="s">
        <v>9</v>
      </c>
      <c r="E31" s="60" t="s">
        <v>40</v>
      </c>
      <c r="F31" s="36" t="s">
        <v>11</v>
      </c>
      <c r="G31" s="84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90"/>
      <c r="S31" s="90"/>
      <c r="T31" s="90"/>
      <c r="U31" s="90"/>
      <c r="V31" s="91"/>
    </row>
    <row r="32" spans="1:22" ht="30" customHeight="1">
      <c r="A32" s="19">
        <v>29</v>
      </c>
      <c r="B32" s="48" t="s">
        <v>44</v>
      </c>
      <c r="C32" s="5" t="s">
        <v>17</v>
      </c>
      <c r="D32" s="7" t="s">
        <v>9</v>
      </c>
      <c r="E32" s="60" t="s">
        <v>40</v>
      </c>
      <c r="F32" s="36" t="s">
        <v>11</v>
      </c>
      <c r="G32" s="84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90"/>
      <c r="S32" s="90"/>
      <c r="T32" s="90"/>
      <c r="U32" s="90"/>
      <c r="V32" s="91"/>
    </row>
    <row r="33" spans="1:22" ht="30" customHeight="1">
      <c r="A33" s="19">
        <v>30</v>
      </c>
      <c r="B33" s="48" t="s">
        <v>45</v>
      </c>
      <c r="C33" s="5" t="s">
        <v>17</v>
      </c>
      <c r="D33" s="7" t="s">
        <v>9</v>
      </c>
      <c r="E33" s="60" t="s">
        <v>40</v>
      </c>
      <c r="F33" s="36" t="s">
        <v>11</v>
      </c>
      <c r="G33" s="84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90"/>
      <c r="S33" s="90"/>
      <c r="T33" s="90"/>
      <c r="U33" s="90"/>
      <c r="V33" s="91"/>
    </row>
    <row r="34" spans="1:22" ht="30" customHeight="1">
      <c r="A34" s="19">
        <v>31</v>
      </c>
      <c r="B34" s="48" t="s">
        <v>46</v>
      </c>
      <c r="C34" s="5" t="s">
        <v>14</v>
      </c>
      <c r="D34" s="7" t="s">
        <v>9</v>
      </c>
      <c r="E34" s="60" t="s">
        <v>47</v>
      </c>
      <c r="F34" s="36" t="s">
        <v>11</v>
      </c>
      <c r="G34" s="84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90"/>
      <c r="S34" s="90"/>
      <c r="T34" s="90"/>
      <c r="U34" s="90"/>
      <c r="V34" s="91"/>
    </row>
    <row r="35" spans="1:22" ht="30" customHeight="1">
      <c r="A35" s="19">
        <v>32</v>
      </c>
      <c r="B35" s="48" t="s">
        <v>48</v>
      </c>
      <c r="C35" s="5" t="s">
        <v>14</v>
      </c>
      <c r="D35" s="7" t="s">
        <v>9</v>
      </c>
      <c r="E35" s="60" t="s">
        <v>47</v>
      </c>
      <c r="F35" s="36" t="s">
        <v>11</v>
      </c>
      <c r="G35" s="84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90"/>
      <c r="S35" s="90"/>
      <c r="T35" s="90"/>
      <c r="U35" s="90"/>
      <c r="V35" s="91"/>
    </row>
    <row r="36" spans="1:22" ht="30" customHeight="1">
      <c r="A36" s="19">
        <v>33</v>
      </c>
      <c r="B36" s="48" t="s">
        <v>49</v>
      </c>
      <c r="C36" s="5" t="s">
        <v>14</v>
      </c>
      <c r="D36" s="7" t="s">
        <v>9</v>
      </c>
      <c r="E36" s="60" t="s">
        <v>47</v>
      </c>
      <c r="F36" s="36" t="s">
        <v>11</v>
      </c>
      <c r="G36" s="84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90"/>
      <c r="S36" s="90"/>
      <c r="T36" s="90"/>
      <c r="U36" s="90"/>
      <c r="V36" s="91"/>
    </row>
    <row r="37" spans="1:22" ht="30" customHeight="1">
      <c r="A37" s="19">
        <v>34</v>
      </c>
      <c r="B37" s="48" t="s">
        <v>50</v>
      </c>
      <c r="C37" s="5" t="s">
        <v>14</v>
      </c>
      <c r="D37" s="7" t="s">
        <v>9</v>
      </c>
      <c r="E37" s="60" t="s">
        <v>47</v>
      </c>
      <c r="F37" s="36" t="s">
        <v>11</v>
      </c>
      <c r="G37" s="84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90"/>
      <c r="S37" s="90"/>
      <c r="T37" s="90"/>
      <c r="U37" s="90"/>
      <c r="V37" s="91"/>
    </row>
    <row r="38" spans="1:22" ht="30" customHeight="1">
      <c r="A38" s="19">
        <v>35</v>
      </c>
      <c r="B38" s="48" t="s">
        <v>51</v>
      </c>
      <c r="C38" s="5" t="s">
        <v>17</v>
      </c>
      <c r="D38" s="7" t="s">
        <v>9</v>
      </c>
      <c r="E38" s="60" t="s">
        <v>47</v>
      </c>
      <c r="F38" s="36" t="s">
        <v>11</v>
      </c>
      <c r="G38" s="84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90"/>
      <c r="S38" s="90"/>
      <c r="T38" s="90"/>
      <c r="U38" s="90"/>
      <c r="V38" s="91"/>
    </row>
    <row r="39" spans="1:22" ht="30" customHeight="1">
      <c r="A39" s="19">
        <v>36</v>
      </c>
      <c r="B39" s="48" t="s">
        <v>52</v>
      </c>
      <c r="C39" s="5" t="s">
        <v>17</v>
      </c>
      <c r="D39" s="7" t="s">
        <v>9</v>
      </c>
      <c r="E39" s="60" t="s">
        <v>47</v>
      </c>
      <c r="F39" s="36" t="s">
        <v>11</v>
      </c>
      <c r="G39" s="84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90"/>
      <c r="S39" s="90"/>
      <c r="T39" s="90"/>
      <c r="U39" s="90"/>
      <c r="V39" s="91"/>
    </row>
    <row r="40" spans="1:22" ht="30" customHeight="1">
      <c r="A40" s="19">
        <v>37</v>
      </c>
      <c r="B40" s="48" t="s">
        <v>53</v>
      </c>
      <c r="C40" s="5" t="s">
        <v>17</v>
      </c>
      <c r="D40" s="7" t="s">
        <v>9</v>
      </c>
      <c r="E40" s="60" t="s">
        <v>47</v>
      </c>
      <c r="F40" s="36" t="s">
        <v>11</v>
      </c>
      <c r="G40" s="84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90"/>
      <c r="S40" s="90"/>
      <c r="T40" s="90"/>
      <c r="U40" s="90"/>
      <c r="V40" s="91"/>
    </row>
    <row r="41" spans="1:22" ht="30" customHeight="1">
      <c r="A41" s="19">
        <v>38</v>
      </c>
      <c r="B41" s="47" t="s">
        <v>54</v>
      </c>
      <c r="C41" s="5" t="s">
        <v>8</v>
      </c>
      <c r="D41" s="7" t="s">
        <v>9</v>
      </c>
      <c r="E41" s="60" t="s">
        <v>55</v>
      </c>
      <c r="F41" s="36" t="s">
        <v>11</v>
      </c>
      <c r="G41" s="84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90"/>
      <c r="S41" s="90"/>
      <c r="T41" s="90"/>
      <c r="U41" s="90"/>
      <c r="V41" s="91"/>
    </row>
    <row r="42" spans="1:22" ht="30" customHeight="1">
      <c r="A42" s="19">
        <v>39</v>
      </c>
      <c r="B42" s="48" t="s">
        <v>56</v>
      </c>
      <c r="C42" s="5" t="s">
        <v>8</v>
      </c>
      <c r="D42" s="7" t="s">
        <v>9</v>
      </c>
      <c r="E42" s="60" t="s">
        <v>55</v>
      </c>
      <c r="F42" s="36" t="s">
        <v>11</v>
      </c>
      <c r="G42" s="84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90"/>
      <c r="S42" s="90"/>
      <c r="T42" s="90"/>
      <c r="U42" s="90"/>
      <c r="V42" s="91"/>
    </row>
    <row r="43" spans="1:22" ht="30" customHeight="1">
      <c r="A43" s="19">
        <v>40</v>
      </c>
      <c r="B43" s="48" t="s">
        <v>57</v>
      </c>
      <c r="C43" s="5" t="s">
        <v>8</v>
      </c>
      <c r="D43" s="7" t="s">
        <v>9</v>
      </c>
      <c r="E43" s="60" t="s">
        <v>55</v>
      </c>
      <c r="F43" s="36" t="s">
        <v>11</v>
      </c>
      <c r="G43" s="84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90"/>
      <c r="S43" s="90"/>
      <c r="T43" s="90"/>
      <c r="U43" s="90"/>
      <c r="V43" s="91"/>
    </row>
    <row r="44" spans="1:22" ht="30" customHeight="1">
      <c r="A44" s="19">
        <v>41</v>
      </c>
      <c r="B44" s="50" t="s">
        <v>58</v>
      </c>
      <c r="C44" s="5" t="s">
        <v>14</v>
      </c>
      <c r="D44" s="7" t="s">
        <v>9</v>
      </c>
      <c r="E44" s="60" t="s">
        <v>55</v>
      </c>
      <c r="F44" s="36" t="s">
        <v>11</v>
      </c>
      <c r="G44" s="84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90"/>
      <c r="S44" s="90"/>
      <c r="T44" s="90"/>
      <c r="U44" s="90"/>
      <c r="V44" s="91"/>
    </row>
    <row r="45" spans="1:22" ht="30" customHeight="1">
      <c r="A45" s="19">
        <v>42</v>
      </c>
      <c r="B45" s="48" t="s">
        <v>59</v>
      </c>
      <c r="C45" s="5" t="s">
        <v>14</v>
      </c>
      <c r="D45" s="7" t="s">
        <v>9</v>
      </c>
      <c r="E45" s="60" t="s">
        <v>60</v>
      </c>
      <c r="F45" s="36" t="s">
        <v>11</v>
      </c>
      <c r="G45" s="84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90"/>
      <c r="S45" s="90"/>
      <c r="T45" s="90"/>
      <c r="U45" s="90"/>
      <c r="V45" s="91"/>
    </row>
    <row r="46" spans="1:22" ht="30" customHeight="1">
      <c r="A46" s="19">
        <v>43</v>
      </c>
      <c r="B46" s="48" t="s">
        <v>61</v>
      </c>
      <c r="C46" s="5" t="s">
        <v>14</v>
      </c>
      <c r="D46" s="7" t="s">
        <v>9</v>
      </c>
      <c r="E46" s="60" t="s">
        <v>60</v>
      </c>
      <c r="F46" s="36" t="s">
        <v>11</v>
      </c>
      <c r="G46" s="84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90"/>
      <c r="S46" s="90"/>
      <c r="T46" s="90"/>
      <c r="U46" s="90"/>
      <c r="V46" s="91"/>
    </row>
    <row r="47" spans="1:22" ht="30" customHeight="1">
      <c r="A47" s="19">
        <v>44</v>
      </c>
      <c r="B47" s="50" t="s">
        <v>62</v>
      </c>
      <c r="C47" s="5" t="s">
        <v>14</v>
      </c>
      <c r="D47" s="7" t="s">
        <v>9</v>
      </c>
      <c r="E47" s="60" t="s">
        <v>60</v>
      </c>
      <c r="F47" s="36" t="s">
        <v>11</v>
      </c>
      <c r="G47" s="84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90"/>
      <c r="S47" s="90"/>
      <c r="T47" s="90"/>
      <c r="U47" s="90"/>
      <c r="V47" s="91"/>
    </row>
    <row r="48" spans="1:22" ht="30" customHeight="1">
      <c r="A48" s="19">
        <v>45</v>
      </c>
      <c r="B48" s="48" t="s">
        <v>63</v>
      </c>
      <c r="C48" s="5" t="s">
        <v>14</v>
      </c>
      <c r="D48" s="7" t="s">
        <v>9</v>
      </c>
      <c r="E48" s="60" t="s">
        <v>60</v>
      </c>
      <c r="F48" s="36" t="s">
        <v>11</v>
      </c>
      <c r="G48" s="84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90"/>
      <c r="S48" s="90"/>
      <c r="T48" s="90"/>
      <c r="U48" s="90"/>
      <c r="V48" s="91"/>
    </row>
    <row r="49" spans="1:22" ht="30" customHeight="1">
      <c r="A49" s="19">
        <v>46</v>
      </c>
      <c r="B49" s="48" t="s">
        <v>64</v>
      </c>
      <c r="C49" s="5" t="s">
        <v>17</v>
      </c>
      <c r="D49" s="7" t="s">
        <v>9</v>
      </c>
      <c r="E49" s="60" t="s">
        <v>60</v>
      </c>
      <c r="F49" s="36" t="s">
        <v>11</v>
      </c>
      <c r="G49" s="84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90"/>
      <c r="S49" s="90"/>
      <c r="T49" s="90"/>
      <c r="U49" s="90"/>
      <c r="V49" s="91"/>
    </row>
    <row r="50" spans="1:22" ht="30" customHeight="1">
      <c r="A50" s="19">
        <v>47</v>
      </c>
      <c r="B50" s="48" t="s">
        <v>65</v>
      </c>
      <c r="C50" s="5" t="s">
        <v>17</v>
      </c>
      <c r="D50" s="7" t="s">
        <v>9</v>
      </c>
      <c r="E50" s="60" t="s">
        <v>60</v>
      </c>
      <c r="F50" s="36" t="s">
        <v>11</v>
      </c>
      <c r="G50" s="84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90"/>
      <c r="S50" s="90"/>
      <c r="T50" s="90"/>
      <c r="U50" s="90"/>
      <c r="V50" s="91"/>
    </row>
    <row r="51" spans="1:22" ht="30" customHeight="1">
      <c r="A51" s="19">
        <v>48</v>
      </c>
      <c r="B51" s="69" t="s">
        <v>66</v>
      </c>
      <c r="C51" s="5" t="s">
        <v>14</v>
      </c>
      <c r="D51" s="7" t="s">
        <v>9</v>
      </c>
      <c r="E51" s="60" t="s">
        <v>67</v>
      </c>
      <c r="F51" s="36" t="s">
        <v>11</v>
      </c>
      <c r="G51" s="84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90"/>
      <c r="S51" s="90"/>
      <c r="T51" s="90"/>
      <c r="U51" s="90"/>
      <c r="V51" s="91"/>
    </row>
    <row r="52" spans="1:22" ht="30" customHeight="1">
      <c r="A52" s="19">
        <v>49</v>
      </c>
      <c r="B52" s="50" t="s">
        <v>68</v>
      </c>
      <c r="C52" s="5" t="s">
        <v>14</v>
      </c>
      <c r="D52" s="7" t="s">
        <v>9</v>
      </c>
      <c r="E52" s="60" t="s">
        <v>67</v>
      </c>
      <c r="F52" s="36" t="s">
        <v>11</v>
      </c>
      <c r="G52" s="84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90"/>
      <c r="S52" s="90"/>
      <c r="T52" s="90"/>
      <c r="U52" s="90"/>
      <c r="V52" s="91"/>
    </row>
    <row r="53" spans="1:22" ht="30" customHeight="1">
      <c r="A53" s="19">
        <v>50</v>
      </c>
      <c r="B53" s="50" t="s">
        <v>69</v>
      </c>
      <c r="C53" s="5" t="s">
        <v>14</v>
      </c>
      <c r="D53" s="7" t="s">
        <v>9</v>
      </c>
      <c r="E53" s="60" t="s">
        <v>67</v>
      </c>
      <c r="F53" s="36" t="s">
        <v>11</v>
      </c>
      <c r="G53" s="84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90"/>
      <c r="S53" s="90"/>
      <c r="T53" s="90"/>
      <c r="U53" s="90"/>
      <c r="V53" s="91"/>
    </row>
    <row r="54" spans="1:22" ht="30" customHeight="1">
      <c r="A54" s="19">
        <v>51</v>
      </c>
      <c r="B54" s="48" t="s">
        <v>70</v>
      </c>
      <c r="C54" s="5" t="s">
        <v>17</v>
      </c>
      <c r="D54" s="7" t="s">
        <v>9</v>
      </c>
      <c r="E54" s="60" t="s">
        <v>67</v>
      </c>
      <c r="F54" s="36" t="s">
        <v>11</v>
      </c>
      <c r="G54" s="84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90"/>
      <c r="S54" s="90"/>
      <c r="T54" s="90"/>
      <c r="U54" s="90"/>
      <c r="V54" s="91"/>
    </row>
    <row r="55" spans="1:22" ht="30" customHeight="1">
      <c r="A55" s="19">
        <v>52</v>
      </c>
      <c r="B55" s="48" t="s">
        <v>71</v>
      </c>
      <c r="C55" s="5" t="s">
        <v>17</v>
      </c>
      <c r="D55" s="7" t="s">
        <v>9</v>
      </c>
      <c r="E55" s="60" t="s">
        <v>67</v>
      </c>
      <c r="F55" s="36" t="s">
        <v>11</v>
      </c>
      <c r="G55" s="84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90"/>
      <c r="S55" s="90"/>
      <c r="T55" s="90"/>
      <c r="U55" s="90"/>
      <c r="V55" s="91"/>
    </row>
    <row r="56" spans="1:22" ht="30" customHeight="1">
      <c r="A56" s="19">
        <v>53</v>
      </c>
      <c r="B56" s="48" t="s">
        <v>72</v>
      </c>
      <c r="C56" s="5" t="s">
        <v>17</v>
      </c>
      <c r="D56" s="7" t="s">
        <v>9</v>
      </c>
      <c r="E56" s="60" t="s">
        <v>67</v>
      </c>
      <c r="F56" s="36" t="s">
        <v>11</v>
      </c>
      <c r="G56" s="84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90"/>
      <c r="S56" s="90"/>
      <c r="T56" s="90"/>
      <c r="U56" s="90"/>
      <c r="V56" s="91"/>
    </row>
    <row r="57" spans="1:22" ht="30" customHeight="1">
      <c r="A57" s="19">
        <v>54</v>
      </c>
      <c r="B57" s="48" t="s">
        <v>73</v>
      </c>
      <c r="C57" s="5" t="s">
        <v>17</v>
      </c>
      <c r="D57" s="7" t="s">
        <v>9</v>
      </c>
      <c r="E57" s="60" t="s">
        <v>67</v>
      </c>
      <c r="F57" s="36" t="s">
        <v>11</v>
      </c>
      <c r="G57" s="84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90"/>
      <c r="S57" s="90"/>
      <c r="T57" s="90"/>
      <c r="U57" s="90"/>
      <c r="V57" s="91"/>
    </row>
    <row r="58" spans="1:22" ht="30" customHeight="1">
      <c r="A58" s="19">
        <v>55</v>
      </c>
      <c r="B58" s="48" t="s">
        <v>74</v>
      </c>
      <c r="C58" s="5" t="s">
        <v>17</v>
      </c>
      <c r="D58" s="7" t="s">
        <v>9</v>
      </c>
      <c r="E58" s="60" t="s">
        <v>67</v>
      </c>
      <c r="F58" s="36" t="s">
        <v>11</v>
      </c>
      <c r="G58" s="84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90"/>
      <c r="S58" s="90"/>
      <c r="T58" s="90"/>
      <c r="U58" s="90"/>
      <c r="V58" s="91"/>
    </row>
    <row r="59" spans="1:22" ht="30" customHeight="1">
      <c r="A59" s="19">
        <v>56</v>
      </c>
      <c r="B59" s="48" t="s">
        <v>75</v>
      </c>
      <c r="C59" s="5" t="s">
        <v>17</v>
      </c>
      <c r="D59" s="7" t="s">
        <v>9</v>
      </c>
      <c r="E59" s="60" t="s">
        <v>67</v>
      </c>
      <c r="F59" s="36" t="s">
        <v>11</v>
      </c>
      <c r="G59" s="84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90"/>
      <c r="S59" s="90"/>
      <c r="T59" s="90"/>
      <c r="U59" s="90"/>
      <c r="V59" s="91"/>
    </row>
    <row r="60" spans="1:22" ht="30" customHeight="1">
      <c r="A60" s="19">
        <v>57</v>
      </c>
      <c r="B60" s="48" t="s">
        <v>76</v>
      </c>
      <c r="C60" s="5" t="s">
        <v>17</v>
      </c>
      <c r="D60" s="7" t="s">
        <v>9</v>
      </c>
      <c r="E60" s="60" t="s">
        <v>67</v>
      </c>
      <c r="F60" s="36" t="s">
        <v>11</v>
      </c>
      <c r="G60" s="84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90"/>
      <c r="S60" s="90"/>
      <c r="T60" s="90"/>
      <c r="U60" s="90"/>
      <c r="V60" s="91"/>
    </row>
    <row r="61" spans="1:22" ht="30" customHeight="1">
      <c r="A61" s="19">
        <v>58</v>
      </c>
      <c r="B61" s="48" t="s">
        <v>77</v>
      </c>
      <c r="C61" s="5" t="s">
        <v>17</v>
      </c>
      <c r="D61" s="7" t="s">
        <v>9</v>
      </c>
      <c r="E61" s="60" t="s">
        <v>67</v>
      </c>
      <c r="F61" s="36" t="s">
        <v>11</v>
      </c>
      <c r="G61" s="84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90"/>
      <c r="S61" s="90"/>
      <c r="T61" s="90"/>
      <c r="U61" s="90"/>
      <c r="V61" s="91"/>
    </row>
    <row r="62" spans="1:22" ht="30" customHeight="1">
      <c r="A62" s="19">
        <v>59</v>
      </c>
      <c r="B62" s="48" t="s">
        <v>78</v>
      </c>
      <c r="C62" s="5" t="s">
        <v>17</v>
      </c>
      <c r="D62" s="7" t="s">
        <v>9</v>
      </c>
      <c r="E62" s="60" t="s">
        <v>67</v>
      </c>
      <c r="F62" s="36" t="s">
        <v>11</v>
      </c>
      <c r="G62" s="84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90"/>
      <c r="S62" s="90"/>
      <c r="T62" s="90"/>
      <c r="U62" s="90"/>
      <c r="V62" s="91"/>
    </row>
    <row r="63" spans="1:22" ht="30" customHeight="1">
      <c r="A63" s="19">
        <v>60</v>
      </c>
      <c r="B63" s="48" t="s">
        <v>79</v>
      </c>
      <c r="C63" s="5" t="s">
        <v>17</v>
      </c>
      <c r="D63" s="7" t="s">
        <v>9</v>
      </c>
      <c r="E63" s="60" t="s">
        <v>67</v>
      </c>
      <c r="F63" s="36" t="s">
        <v>11</v>
      </c>
      <c r="G63" s="84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90"/>
      <c r="S63" s="90"/>
      <c r="T63" s="90"/>
      <c r="U63" s="90"/>
      <c r="V63" s="91"/>
    </row>
    <row r="64" spans="1:22" ht="30" customHeight="1">
      <c r="A64" s="19">
        <v>61</v>
      </c>
      <c r="B64" s="47" t="s">
        <v>80</v>
      </c>
      <c r="C64" s="5" t="s">
        <v>8</v>
      </c>
      <c r="D64" s="7" t="s">
        <v>9</v>
      </c>
      <c r="E64" s="60" t="s">
        <v>81</v>
      </c>
      <c r="F64" s="36" t="s">
        <v>11</v>
      </c>
      <c r="G64" s="84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90"/>
      <c r="S64" s="90"/>
      <c r="T64" s="90"/>
      <c r="U64" s="90"/>
      <c r="V64" s="91"/>
    </row>
    <row r="65" spans="1:22" ht="30" customHeight="1">
      <c r="A65" s="19">
        <v>62</v>
      </c>
      <c r="B65" s="48" t="s">
        <v>82</v>
      </c>
      <c r="C65" s="5" t="s">
        <v>17</v>
      </c>
      <c r="D65" s="7" t="s">
        <v>9</v>
      </c>
      <c r="E65" s="60" t="s">
        <v>81</v>
      </c>
      <c r="F65" s="36" t="s">
        <v>11</v>
      </c>
      <c r="G65" s="84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90"/>
      <c r="S65" s="90"/>
      <c r="T65" s="90"/>
      <c r="U65" s="90"/>
      <c r="V65" s="91"/>
    </row>
    <row r="66" spans="1:22" ht="30" customHeight="1">
      <c r="A66" s="19">
        <v>63</v>
      </c>
      <c r="B66" s="48" t="s">
        <v>83</v>
      </c>
      <c r="C66" s="5" t="s">
        <v>17</v>
      </c>
      <c r="D66" s="7" t="s">
        <v>9</v>
      </c>
      <c r="E66" s="60" t="s">
        <v>81</v>
      </c>
      <c r="F66" s="36" t="s">
        <v>11</v>
      </c>
      <c r="G66" s="84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90"/>
      <c r="S66" s="90"/>
      <c r="T66" s="90"/>
      <c r="U66" s="90"/>
      <c r="V66" s="91"/>
    </row>
    <row r="67" spans="1:22" ht="30" customHeight="1">
      <c r="A67" s="19">
        <v>64</v>
      </c>
      <c r="B67" s="48" t="s">
        <v>84</v>
      </c>
      <c r="C67" s="5" t="s">
        <v>17</v>
      </c>
      <c r="D67" s="7" t="s">
        <v>9</v>
      </c>
      <c r="E67" s="60" t="s">
        <v>81</v>
      </c>
      <c r="F67" s="36" t="s">
        <v>11</v>
      </c>
      <c r="G67" s="84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90"/>
      <c r="S67" s="90"/>
      <c r="T67" s="90"/>
      <c r="U67" s="90"/>
      <c r="V67" s="91"/>
    </row>
    <row r="68" spans="1:22" ht="30" customHeight="1">
      <c r="A68" s="19">
        <v>65</v>
      </c>
      <c r="B68" s="48" t="s">
        <v>85</v>
      </c>
      <c r="C68" s="5" t="s">
        <v>17</v>
      </c>
      <c r="D68" s="7" t="s">
        <v>9</v>
      </c>
      <c r="E68" s="60" t="s">
        <v>81</v>
      </c>
      <c r="F68" s="36" t="s">
        <v>11</v>
      </c>
      <c r="G68" s="84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90"/>
      <c r="S68" s="90"/>
      <c r="T68" s="90"/>
      <c r="U68" s="90"/>
      <c r="V68" s="91"/>
    </row>
    <row r="69" spans="1:22" ht="30" customHeight="1">
      <c r="A69" s="19">
        <v>66</v>
      </c>
      <c r="B69" s="48" t="s">
        <v>86</v>
      </c>
      <c r="C69" s="5" t="s">
        <v>17</v>
      </c>
      <c r="D69" s="7" t="s">
        <v>9</v>
      </c>
      <c r="E69" s="60" t="s">
        <v>81</v>
      </c>
      <c r="F69" s="36" t="s">
        <v>11</v>
      </c>
      <c r="G69" s="84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90"/>
      <c r="S69" s="90"/>
      <c r="T69" s="90"/>
      <c r="U69" s="90"/>
      <c r="V69" s="91"/>
    </row>
    <row r="70" spans="1:22" ht="30" customHeight="1">
      <c r="A70" s="19">
        <v>67</v>
      </c>
      <c r="B70" s="48" t="s">
        <v>87</v>
      </c>
      <c r="C70" s="5" t="s">
        <v>17</v>
      </c>
      <c r="D70" s="7" t="s">
        <v>9</v>
      </c>
      <c r="E70" s="60" t="s">
        <v>81</v>
      </c>
      <c r="F70" s="36" t="s">
        <v>11</v>
      </c>
      <c r="G70" s="84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90"/>
      <c r="S70" s="90"/>
      <c r="T70" s="90"/>
      <c r="U70" s="90"/>
      <c r="V70" s="91"/>
    </row>
    <row r="71" spans="1:22" ht="30" customHeight="1">
      <c r="A71" s="19">
        <v>68</v>
      </c>
      <c r="B71" s="48" t="s">
        <v>88</v>
      </c>
      <c r="C71" s="5" t="s">
        <v>17</v>
      </c>
      <c r="D71" s="7" t="s">
        <v>9</v>
      </c>
      <c r="E71" s="60" t="s">
        <v>81</v>
      </c>
      <c r="F71" s="36" t="s">
        <v>11</v>
      </c>
      <c r="G71" s="84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90"/>
      <c r="S71" s="90"/>
      <c r="T71" s="90"/>
      <c r="U71" s="90"/>
      <c r="V71" s="91"/>
    </row>
    <row r="72" spans="1:22" ht="30" customHeight="1">
      <c r="A72" s="19">
        <v>69</v>
      </c>
      <c r="B72" s="47" t="s">
        <v>89</v>
      </c>
      <c r="C72" s="5" t="s">
        <v>8</v>
      </c>
      <c r="D72" s="7" t="s">
        <v>9</v>
      </c>
      <c r="E72" s="60" t="s">
        <v>90</v>
      </c>
      <c r="F72" s="36" t="s">
        <v>11</v>
      </c>
      <c r="G72" s="84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90"/>
      <c r="S72" s="90"/>
      <c r="T72" s="90"/>
      <c r="U72" s="90"/>
      <c r="V72" s="91"/>
    </row>
    <row r="73" spans="1:22" ht="30" customHeight="1">
      <c r="A73" s="19">
        <v>70</v>
      </c>
      <c r="B73" s="48" t="s">
        <v>91</v>
      </c>
      <c r="C73" s="5" t="s">
        <v>8</v>
      </c>
      <c r="D73" s="7" t="s">
        <v>9</v>
      </c>
      <c r="E73" s="60" t="s">
        <v>90</v>
      </c>
      <c r="F73" s="36" t="s">
        <v>11</v>
      </c>
      <c r="G73" s="84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90"/>
      <c r="S73" s="90"/>
      <c r="T73" s="90"/>
      <c r="U73" s="90"/>
      <c r="V73" s="91"/>
    </row>
    <row r="74" spans="1:22" ht="30" customHeight="1">
      <c r="A74" s="19">
        <v>71</v>
      </c>
      <c r="B74" s="48" t="s">
        <v>92</v>
      </c>
      <c r="C74" s="5" t="s">
        <v>17</v>
      </c>
      <c r="D74" s="7" t="s">
        <v>9</v>
      </c>
      <c r="E74" s="60" t="s">
        <v>90</v>
      </c>
      <c r="F74" s="36" t="s">
        <v>11</v>
      </c>
      <c r="G74" s="84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90"/>
      <c r="S74" s="90"/>
      <c r="T74" s="90"/>
      <c r="U74" s="90"/>
      <c r="V74" s="91"/>
    </row>
    <row r="75" spans="1:22" ht="30" customHeight="1">
      <c r="A75" s="19">
        <v>72</v>
      </c>
      <c r="B75" s="48" t="s">
        <v>93</v>
      </c>
      <c r="C75" s="5" t="s">
        <v>14</v>
      </c>
      <c r="D75" s="7" t="s">
        <v>9</v>
      </c>
      <c r="E75" s="60" t="s">
        <v>94</v>
      </c>
      <c r="F75" s="36" t="s">
        <v>11</v>
      </c>
      <c r="G75" s="84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90"/>
      <c r="S75" s="90"/>
      <c r="T75" s="90"/>
      <c r="U75" s="90"/>
      <c r="V75" s="91"/>
    </row>
    <row r="76" spans="1:22" ht="30" customHeight="1">
      <c r="A76" s="19">
        <v>73</v>
      </c>
      <c r="B76" s="48" t="s">
        <v>95</v>
      </c>
      <c r="C76" s="5" t="s">
        <v>17</v>
      </c>
      <c r="D76" s="7" t="s">
        <v>9</v>
      </c>
      <c r="E76" s="60" t="s">
        <v>94</v>
      </c>
      <c r="F76" s="36" t="s">
        <v>11</v>
      </c>
      <c r="G76" s="84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90"/>
      <c r="S76" s="90"/>
      <c r="T76" s="90"/>
      <c r="U76" s="90"/>
      <c r="V76" s="91"/>
    </row>
    <row r="77" spans="1:22" ht="30" customHeight="1">
      <c r="A77" s="19">
        <v>74</v>
      </c>
      <c r="B77" s="47" t="s">
        <v>96</v>
      </c>
      <c r="C77" s="5" t="s">
        <v>14</v>
      </c>
      <c r="D77" s="7" t="s">
        <v>9</v>
      </c>
      <c r="E77" s="60" t="s">
        <v>97</v>
      </c>
      <c r="F77" s="36" t="s">
        <v>11</v>
      </c>
      <c r="G77" s="84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90"/>
      <c r="S77" s="90"/>
      <c r="T77" s="90"/>
      <c r="U77" s="90"/>
      <c r="V77" s="91"/>
    </row>
    <row r="78" spans="1:22" ht="30" customHeight="1">
      <c r="A78" s="19">
        <v>75</v>
      </c>
      <c r="B78" s="48" t="s">
        <v>98</v>
      </c>
      <c r="C78" s="5" t="s">
        <v>17</v>
      </c>
      <c r="D78" s="7" t="s">
        <v>9</v>
      </c>
      <c r="E78" s="60" t="s">
        <v>97</v>
      </c>
      <c r="F78" s="36" t="s">
        <v>11</v>
      </c>
      <c r="G78" s="84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90"/>
      <c r="S78" s="90"/>
      <c r="T78" s="90"/>
      <c r="U78" s="90"/>
      <c r="V78" s="91"/>
    </row>
    <row r="79" spans="1:22" ht="30" customHeight="1">
      <c r="A79" s="19">
        <v>76</v>
      </c>
      <c r="B79" s="20" t="s">
        <v>99</v>
      </c>
      <c r="C79" s="5" t="s">
        <v>8</v>
      </c>
      <c r="D79" s="7" t="s">
        <v>100</v>
      </c>
      <c r="E79" s="60" t="s">
        <v>101</v>
      </c>
      <c r="F79" s="36" t="s">
        <v>11</v>
      </c>
      <c r="G79" s="84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90"/>
      <c r="S79" s="90"/>
      <c r="T79" s="90"/>
      <c r="U79" s="90"/>
      <c r="V79" s="91"/>
    </row>
    <row r="80" spans="1:22" ht="30" customHeight="1">
      <c r="A80" s="19">
        <v>77</v>
      </c>
      <c r="B80" s="20" t="s">
        <v>102</v>
      </c>
      <c r="C80" s="5" t="s">
        <v>8</v>
      </c>
      <c r="D80" s="7" t="s">
        <v>100</v>
      </c>
      <c r="E80" s="60" t="s">
        <v>67</v>
      </c>
      <c r="F80" s="36" t="s">
        <v>11</v>
      </c>
      <c r="G80" s="84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90"/>
      <c r="S80" s="90"/>
      <c r="T80" s="90"/>
      <c r="U80" s="90"/>
      <c r="V80" s="91"/>
    </row>
    <row r="81" spans="1:22" ht="30" customHeight="1">
      <c r="A81" s="19">
        <v>78</v>
      </c>
      <c r="B81" s="20" t="s">
        <v>103</v>
      </c>
      <c r="C81" s="5" t="s">
        <v>8</v>
      </c>
      <c r="D81" s="7" t="s">
        <v>100</v>
      </c>
      <c r="E81" s="60" t="s">
        <v>67</v>
      </c>
      <c r="F81" s="36" t="s">
        <v>11</v>
      </c>
      <c r="G81" s="84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90"/>
      <c r="S81" s="90"/>
      <c r="T81" s="90"/>
      <c r="U81" s="90"/>
      <c r="V81" s="91"/>
    </row>
    <row r="82" spans="1:22" ht="30" customHeight="1">
      <c r="A82" s="19">
        <v>79</v>
      </c>
      <c r="B82" s="20" t="s">
        <v>104</v>
      </c>
      <c r="C82" s="5" t="s">
        <v>8</v>
      </c>
      <c r="D82" s="7" t="s">
        <v>100</v>
      </c>
      <c r="E82" s="60" t="s">
        <v>94</v>
      </c>
      <c r="F82" s="36" t="s">
        <v>11</v>
      </c>
      <c r="G82" s="84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90"/>
      <c r="S82" s="90"/>
      <c r="T82" s="90"/>
      <c r="U82" s="90"/>
      <c r="V82" s="91"/>
    </row>
    <row r="83" spans="1:22" ht="30" customHeight="1">
      <c r="A83" s="19">
        <v>80</v>
      </c>
      <c r="B83" s="20" t="s">
        <v>105</v>
      </c>
      <c r="C83" s="5" t="s">
        <v>8</v>
      </c>
      <c r="D83" s="7" t="s">
        <v>100</v>
      </c>
      <c r="E83" s="60" t="s">
        <v>94</v>
      </c>
      <c r="F83" s="36" t="s">
        <v>11</v>
      </c>
      <c r="G83" s="84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90"/>
      <c r="S83" s="90"/>
      <c r="T83" s="90"/>
      <c r="U83" s="90"/>
      <c r="V83" s="91"/>
    </row>
    <row r="84" spans="1:22" ht="30" customHeight="1">
      <c r="A84" s="19">
        <v>81</v>
      </c>
      <c r="B84" s="20" t="s">
        <v>106</v>
      </c>
      <c r="C84" s="5" t="s">
        <v>8</v>
      </c>
      <c r="D84" s="7" t="s">
        <v>100</v>
      </c>
      <c r="E84" s="60" t="s">
        <v>94</v>
      </c>
      <c r="F84" s="36" t="s">
        <v>11</v>
      </c>
      <c r="G84" s="84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90"/>
      <c r="S84" s="90"/>
      <c r="T84" s="90"/>
      <c r="U84" s="90"/>
      <c r="V84" s="91"/>
    </row>
    <row r="85" spans="1:22" ht="30" customHeight="1">
      <c r="A85" s="19">
        <v>82</v>
      </c>
      <c r="B85" s="20" t="s">
        <v>107</v>
      </c>
      <c r="C85" s="5" t="s">
        <v>8</v>
      </c>
      <c r="D85" s="7" t="s">
        <v>100</v>
      </c>
      <c r="E85" s="60" t="s">
        <v>101</v>
      </c>
      <c r="F85" s="36" t="s">
        <v>11</v>
      </c>
      <c r="G85" s="84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90"/>
      <c r="S85" s="90"/>
      <c r="T85" s="90"/>
      <c r="U85" s="90"/>
      <c r="V85" s="91"/>
    </row>
    <row r="86" spans="1:22" ht="30" customHeight="1">
      <c r="A86" s="19">
        <v>83</v>
      </c>
      <c r="B86" s="20" t="s">
        <v>108</v>
      </c>
      <c r="C86" s="5" t="s">
        <v>8</v>
      </c>
      <c r="D86" s="7" t="s">
        <v>100</v>
      </c>
      <c r="E86" s="60" t="s">
        <v>94</v>
      </c>
      <c r="F86" s="36" t="s">
        <v>11</v>
      </c>
      <c r="G86" s="84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90"/>
      <c r="S86" s="90"/>
      <c r="T86" s="90"/>
      <c r="U86" s="90"/>
      <c r="V86" s="91"/>
    </row>
    <row r="87" spans="1:22" ht="30" customHeight="1">
      <c r="A87" s="19">
        <v>84</v>
      </c>
      <c r="B87" s="20" t="s">
        <v>109</v>
      </c>
      <c r="C87" s="5" t="s">
        <v>8</v>
      </c>
      <c r="D87" s="7" t="s">
        <v>100</v>
      </c>
      <c r="E87" s="60" t="s">
        <v>67</v>
      </c>
      <c r="F87" s="36" t="s">
        <v>11</v>
      </c>
      <c r="G87" s="84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90"/>
      <c r="S87" s="90"/>
      <c r="T87" s="90"/>
      <c r="U87" s="90"/>
      <c r="V87" s="91"/>
    </row>
    <row r="88" spans="1:22" ht="30" customHeight="1">
      <c r="A88" s="19">
        <v>85</v>
      </c>
      <c r="B88" s="20" t="s">
        <v>102</v>
      </c>
      <c r="C88" s="5" t="s">
        <v>8</v>
      </c>
      <c r="D88" s="7" t="s">
        <v>100</v>
      </c>
      <c r="E88" s="60" t="s">
        <v>67</v>
      </c>
      <c r="F88" s="36" t="s">
        <v>11</v>
      </c>
      <c r="G88" s="84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90"/>
      <c r="S88" s="90"/>
      <c r="T88" s="90"/>
      <c r="U88" s="90"/>
      <c r="V88" s="91"/>
    </row>
    <row r="89" spans="1:22" ht="30" customHeight="1">
      <c r="A89" s="19">
        <v>86</v>
      </c>
      <c r="B89" s="20" t="s">
        <v>102</v>
      </c>
      <c r="C89" s="5" t="s">
        <v>14</v>
      </c>
      <c r="D89" s="7" t="s">
        <v>100</v>
      </c>
      <c r="E89" s="60" t="s">
        <v>67</v>
      </c>
      <c r="F89" s="36" t="s">
        <v>11</v>
      </c>
      <c r="G89" s="84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90"/>
      <c r="S89" s="90"/>
      <c r="T89" s="90"/>
      <c r="U89" s="90"/>
      <c r="V89" s="91"/>
    </row>
    <row r="90" spans="1:22" ht="30" customHeight="1">
      <c r="A90" s="19">
        <v>87</v>
      </c>
      <c r="B90" s="20" t="s">
        <v>110</v>
      </c>
      <c r="C90" s="5" t="s">
        <v>14</v>
      </c>
      <c r="D90" s="7" t="s">
        <v>100</v>
      </c>
      <c r="E90" s="60" t="s">
        <v>94</v>
      </c>
      <c r="F90" s="36" t="s">
        <v>11</v>
      </c>
      <c r="G90" s="84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90"/>
      <c r="S90" s="90"/>
      <c r="T90" s="90"/>
      <c r="U90" s="90"/>
      <c r="V90" s="91"/>
    </row>
    <row r="91" spans="1:22" ht="30" customHeight="1">
      <c r="A91" s="19">
        <v>88</v>
      </c>
      <c r="B91" s="20" t="s">
        <v>111</v>
      </c>
      <c r="C91" s="5" t="s">
        <v>14</v>
      </c>
      <c r="D91" s="7" t="s">
        <v>100</v>
      </c>
      <c r="E91" s="60" t="s">
        <v>60</v>
      </c>
      <c r="F91" s="36" t="s">
        <v>11</v>
      </c>
      <c r="G91" s="84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90"/>
      <c r="S91" s="90"/>
      <c r="T91" s="90"/>
      <c r="U91" s="90"/>
      <c r="V91" s="91"/>
    </row>
    <row r="92" spans="1:22" ht="30" customHeight="1">
      <c r="A92" s="19">
        <v>89</v>
      </c>
      <c r="B92" s="20" t="s">
        <v>112</v>
      </c>
      <c r="C92" s="5" t="s">
        <v>14</v>
      </c>
      <c r="D92" s="7" t="s">
        <v>100</v>
      </c>
      <c r="E92" s="60" t="s">
        <v>101</v>
      </c>
      <c r="F92" s="36" t="s">
        <v>11</v>
      </c>
      <c r="G92" s="84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90"/>
      <c r="S92" s="90"/>
      <c r="T92" s="90"/>
      <c r="U92" s="90"/>
      <c r="V92" s="91"/>
    </row>
    <row r="93" spans="1:22" ht="30" customHeight="1">
      <c r="A93" s="19">
        <v>90</v>
      </c>
      <c r="B93" s="20" t="s">
        <v>113</v>
      </c>
      <c r="C93" s="5" t="s">
        <v>14</v>
      </c>
      <c r="D93" s="7" t="s">
        <v>100</v>
      </c>
      <c r="E93" s="60" t="s">
        <v>101</v>
      </c>
      <c r="F93" s="36" t="s">
        <v>11</v>
      </c>
      <c r="G93" s="84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90"/>
      <c r="S93" s="90"/>
      <c r="T93" s="90"/>
      <c r="U93" s="90"/>
      <c r="V93" s="91"/>
    </row>
    <row r="94" spans="1:22" ht="30" customHeight="1">
      <c r="A94" s="19">
        <v>91</v>
      </c>
      <c r="B94" s="20" t="s">
        <v>114</v>
      </c>
      <c r="C94" s="5" t="s">
        <v>14</v>
      </c>
      <c r="D94" s="7" t="s">
        <v>100</v>
      </c>
      <c r="E94" s="60" t="s">
        <v>67</v>
      </c>
      <c r="F94" s="36" t="s">
        <v>11</v>
      </c>
      <c r="G94" s="84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90"/>
      <c r="S94" s="90"/>
      <c r="T94" s="90"/>
      <c r="U94" s="90"/>
      <c r="V94" s="91"/>
    </row>
    <row r="95" spans="1:22" ht="30" customHeight="1">
      <c r="A95" s="19">
        <v>92</v>
      </c>
      <c r="B95" s="20" t="s">
        <v>115</v>
      </c>
      <c r="C95" s="5" t="s">
        <v>14</v>
      </c>
      <c r="D95" s="7" t="s">
        <v>100</v>
      </c>
      <c r="E95" s="60" t="s">
        <v>67</v>
      </c>
      <c r="F95" s="36" t="s">
        <v>11</v>
      </c>
      <c r="G95" s="84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90"/>
      <c r="S95" s="90"/>
      <c r="T95" s="90"/>
      <c r="U95" s="90"/>
      <c r="V95" s="91"/>
    </row>
    <row r="96" spans="1:22" ht="30" customHeight="1">
      <c r="A96" s="19">
        <v>93</v>
      </c>
      <c r="B96" s="20" t="s">
        <v>116</v>
      </c>
      <c r="C96" s="5" t="s">
        <v>14</v>
      </c>
      <c r="D96" s="7" t="s">
        <v>100</v>
      </c>
      <c r="E96" s="60" t="s">
        <v>67</v>
      </c>
      <c r="F96" s="36" t="s">
        <v>11</v>
      </c>
      <c r="G96" s="84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90"/>
      <c r="S96" s="90"/>
      <c r="T96" s="90"/>
      <c r="U96" s="90"/>
      <c r="V96" s="91"/>
    </row>
    <row r="97" spans="1:22" ht="30" customHeight="1">
      <c r="A97" s="19">
        <v>94</v>
      </c>
      <c r="B97" s="20" t="s">
        <v>117</v>
      </c>
      <c r="C97" s="5" t="s">
        <v>14</v>
      </c>
      <c r="D97" s="7" t="s">
        <v>100</v>
      </c>
      <c r="E97" s="60" t="s">
        <v>67</v>
      </c>
      <c r="F97" s="36" t="s">
        <v>11</v>
      </c>
      <c r="G97" s="84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90"/>
      <c r="S97" s="90"/>
      <c r="T97" s="90"/>
      <c r="U97" s="90"/>
      <c r="V97" s="91"/>
    </row>
    <row r="98" spans="1:22" ht="30" customHeight="1">
      <c r="A98" s="19">
        <v>95</v>
      </c>
      <c r="B98" s="20" t="s">
        <v>118</v>
      </c>
      <c r="C98" s="5" t="s">
        <v>17</v>
      </c>
      <c r="D98" s="7" t="s">
        <v>100</v>
      </c>
      <c r="E98" s="60" t="s">
        <v>94</v>
      </c>
      <c r="F98" s="36" t="s">
        <v>11</v>
      </c>
      <c r="G98" s="84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90"/>
      <c r="S98" s="90"/>
      <c r="T98" s="90"/>
      <c r="U98" s="90"/>
      <c r="V98" s="91"/>
    </row>
    <row r="99" spans="1:22" ht="30" customHeight="1">
      <c r="A99" s="19">
        <v>96</v>
      </c>
      <c r="B99" s="20" t="s">
        <v>119</v>
      </c>
      <c r="C99" s="5" t="s">
        <v>17</v>
      </c>
      <c r="D99" s="7" t="s">
        <v>100</v>
      </c>
      <c r="E99" s="60" t="s">
        <v>19</v>
      </c>
      <c r="F99" s="36" t="s">
        <v>11</v>
      </c>
      <c r="G99" s="84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90"/>
      <c r="S99" s="90"/>
      <c r="T99" s="90"/>
      <c r="U99" s="90"/>
      <c r="V99" s="91"/>
    </row>
    <row r="100" spans="1:22" ht="30" customHeight="1">
      <c r="A100" s="19">
        <v>97</v>
      </c>
      <c r="B100" s="20" t="s">
        <v>120</v>
      </c>
      <c r="C100" s="5" t="s">
        <v>17</v>
      </c>
      <c r="D100" s="7" t="s">
        <v>100</v>
      </c>
      <c r="E100" s="60" t="s">
        <v>19</v>
      </c>
      <c r="F100" s="36" t="s">
        <v>11</v>
      </c>
      <c r="G100" s="84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90"/>
      <c r="S100" s="90"/>
      <c r="T100" s="90"/>
      <c r="U100" s="90"/>
      <c r="V100" s="91"/>
    </row>
    <row r="101" spans="1:22" ht="30" customHeight="1">
      <c r="A101" s="19">
        <v>98</v>
      </c>
      <c r="B101" s="20" t="s">
        <v>121</v>
      </c>
      <c r="C101" s="5" t="s">
        <v>17</v>
      </c>
      <c r="D101" s="7" t="s">
        <v>100</v>
      </c>
      <c r="E101" s="60" t="s">
        <v>19</v>
      </c>
      <c r="F101" s="36" t="s">
        <v>11</v>
      </c>
      <c r="G101" s="84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90"/>
      <c r="S101" s="90"/>
      <c r="T101" s="90"/>
      <c r="U101" s="90"/>
      <c r="V101" s="91"/>
    </row>
    <row r="102" spans="1:22" ht="30" customHeight="1">
      <c r="A102" s="19">
        <v>99</v>
      </c>
      <c r="B102" s="20" t="s">
        <v>122</v>
      </c>
      <c r="C102" s="5" t="s">
        <v>17</v>
      </c>
      <c r="D102" s="7" t="s">
        <v>100</v>
      </c>
      <c r="E102" s="60" t="s">
        <v>67</v>
      </c>
      <c r="F102" s="36" t="s">
        <v>11</v>
      </c>
      <c r="G102" s="84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90"/>
      <c r="S102" s="90"/>
      <c r="T102" s="90"/>
      <c r="U102" s="90"/>
      <c r="V102" s="91"/>
    </row>
    <row r="103" spans="1:22" ht="30" customHeight="1">
      <c r="A103" s="19">
        <v>100</v>
      </c>
      <c r="B103" s="20" t="s">
        <v>123</v>
      </c>
      <c r="C103" s="5" t="s">
        <v>17</v>
      </c>
      <c r="D103" s="7" t="s">
        <v>100</v>
      </c>
      <c r="E103" s="60" t="s">
        <v>67</v>
      </c>
      <c r="F103" s="36" t="s">
        <v>11</v>
      </c>
      <c r="G103" s="84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90"/>
      <c r="S103" s="90"/>
      <c r="T103" s="90"/>
      <c r="U103" s="90"/>
      <c r="V103" s="91"/>
    </row>
    <row r="104" spans="1:22" ht="30" customHeight="1">
      <c r="A104" s="19">
        <v>101</v>
      </c>
      <c r="B104" s="20" t="s">
        <v>124</v>
      </c>
      <c r="C104" s="5" t="s">
        <v>17</v>
      </c>
      <c r="D104" s="7" t="s">
        <v>100</v>
      </c>
      <c r="E104" s="60" t="s">
        <v>67</v>
      </c>
      <c r="F104" s="36" t="s">
        <v>11</v>
      </c>
      <c r="G104" s="84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90"/>
      <c r="S104" s="90"/>
      <c r="T104" s="90"/>
      <c r="U104" s="90"/>
      <c r="V104" s="91"/>
    </row>
    <row r="105" spans="1:22" ht="30" customHeight="1">
      <c r="A105" s="19">
        <v>102</v>
      </c>
      <c r="B105" s="20" t="s">
        <v>125</v>
      </c>
      <c r="C105" s="5" t="s">
        <v>17</v>
      </c>
      <c r="D105" s="7" t="s">
        <v>100</v>
      </c>
      <c r="E105" s="60" t="s">
        <v>126</v>
      </c>
      <c r="F105" s="36" t="s">
        <v>11</v>
      </c>
      <c r="G105" s="84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90"/>
      <c r="S105" s="90"/>
      <c r="T105" s="90"/>
      <c r="U105" s="90"/>
      <c r="V105" s="91"/>
    </row>
    <row r="106" spans="1:22" ht="30" customHeight="1">
      <c r="A106" s="19">
        <v>103</v>
      </c>
      <c r="B106" s="20" t="s">
        <v>127</v>
      </c>
      <c r="C106" s="5" t="s">
        <v>128</v>
      </c>
      <c r="D106" s="7" t="s">
        <v>100</v>
      </c>
      <c r="E106" s="60" t="s">
        <v>67</v>
      </c>
      <c r="F106" s="36" t="s">
        <v>11</v>
      </c>
      <c r="G106" s="84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90"/>
      <c r="S106" s="90"/>
      <c r="T106" s="90"/>
      <c r="U106" s="90"/>
      <c r="V106" s="91"/>
    </row>
    <row r="107" spans="1:22" ht="30" customHeight="1">
      <c r="A107" s="19">
        <v>104</v>
      </c>
      <c r="B107" s="20" t="s">
        <v>129</v>
      </c>
      <c r="C107" s="5" t="s">
        <v>128</v>
      </c>
      <c r="D107" s="7" t="s">
        <v>100</v>
      </c>
      <c r="E107" s="60" t="s">
        <v>67</v>
      </c>
      <c r="F107" s="36" t="s">
        <v>11</v>
      </c>
      <c r="G107" s="84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90"/>
      <c r="S107" s="90"/>
      <c r="T107" s="90"/>
      <c r="U107" s="90"/>
      <c r="V107" s="91"/>
    </row>
    <row r="108" spans="1:22" ht="30" customHeight="1">
      <c r="A108" s="19">
        <v>105</v>
      </c>
      <c r="B108" s="20" t="s">
        <v>130</v>
      </c>
      <c r="C108" s="5" t="s">
        <v>128</v>
      </c>
      <c r="D108" s="7" t="s">
        <v>100</v>
      </c>
      <c r="E108" s="60" t="s">
        <v>101</v>
      </c>
      <c r="F108" s="36" t="s">
        <v>11</v>
      </c>
      <c r="G108" s="84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90"/>
      <c r="S108" s="90"/>
      <c r="T108" s="90"/>
      <c r="U108" s="90"/>
      <c r="V108" s="91"/>
    </row>
    <row r="109" spans="1:22" ht="30" customHeight="1">
      <c r="A109" s="19">
        <v>106</v>
      </c>
      <c r="B109" s="20" t="s">
        <v>131</v>
      </c>
      <c r="C109" s="5" t="s">
        <v>128</v>
      </c>
      <c r="D109" s="7" t="s">
        <v>100</v>
      </c>
      <c r="E109" s="60" t="s">
        <v>132</v>
      </c>
      <c r="F109" s="36" t="s">
        <v>11</v>
      </c>
      <c r="G109" s="84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90"/>
      <c r="S109" s="90"/>
      <c r="T109" s="90"/>
      <c r="U109" s="90"/>
      <c r="V109" s="91"/>
    </row>
    <row r="110" spans="1:22" ht="30" customHeight="1">
      <c r="A110" s="19">
        <v>107</v>
      </c>
      <c r="B110" s="20" t="s">
        <v>133</v>
      </c>
      <c r="C110" s="5" t="s">
        <v>128</v>
      </c>
      <c r="D110" s="7" t="s">
        <v>100</v>
      </c>
      <c r="E110" s="60" t="s">
        <v>67</v>
      </c>
      <c r="F110" s="36" t="s">
        <v>11</v>
      </c>
      <c r="G110" s="84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90"/>
      <c r="S110" s="90"/>
      <c r="T110" s="90"/>
      <c r="U110" s="90"/>
      <c r="V110" s="91"/>
    </row>
    <row r="111" spans="1:22" ht="30" customHeight="1">
      <c r="A111" s="19">
        <v>109</v>
      </c>
      <c r="B111" s="20" t="s">
        <v>134</v>
      </c>
      <c r="C111" s="5" t="s">
        <v>128</v>
      </c>
      <c r="D111" s="7" t="s">
        <v>100</v>
      </c>
      <c r="E111" s="60" t="s">
        <v>67</v>
      </c>
      <c r="F111" s="36" t="s">
        <v>11</v>
      </c>
      <c r="G111" s="84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90"/>
      <c r="S111" s="90"/>
      <c r="T111" s="90"/>
      <c r="U111" s="90"/>
      <c r="V111" s="91"/>
    </row>
    <row r="112" spans="1:22" ht="30" customHeight="1">
      <c r="A112" s="19">
        <v>110</v>
      </c>
      <c r="B112" s="20" t="s">
        <v>135</v>
      </c>
      <c r="C112" s="5" t="s">
        <v>128</v>
      </c>
      <c r="D112" s="7" t="s">
        <v>100</v>
      </c>
      <c r="E112" s="60" t="s">
        <v>101</v>
      </c>
      <c r="F112" s="36" t="s">
        <v>11</v>
      </c>
      <c r="G112" s="84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90"/>
      <c r="S112" s="90"/>
      <c r="T112" s="90"/>
      <c r="U112" s="90"/>
      <c r="V112" s="91"/>
    </row>
    <row r="113" spans="1:22" ht="30" customHeight="1">
      <c r="A113" s="19">
        <v>111</v>
      </c>
      <c r="B113" s="20" t="s">
        <v>136</v>
      </c>
      <c r="C113" s="5" t="s">
        <v>128</v>
      </c>
      <c r="D113" s="7" t="s">
        <v>100</v>
      </c>
      <c r="E113" s="60" t="s">
        <v>60</v>
      </c>
      <c r="F113" s="36" t="s">
        <v>11</v>
      </c>
      <c r="G113" s="84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90"/>
      <c r="S113" s="90"/>
      <c r="T113" s="90"/>
      <c r="U113" s="90"/>
      <c r="V113" s="91"/>
    </row>
    <row r="114" spans="1:22" ht="30" customHeight="1">
      <c r="A114" s="19">
        <v>112</v>
      </c>
      <c r="B114" s="20" t="s">
        <v>44</v>
      </c>
      <c r="C114" s="5" t="s">
        <v>128</v>
      </c>
      <c r="D114" s="7" t="s">
        <v>100</v>
      </c>
      <c r="E114" s="60" t="s">
        <v>40</v>
      </c>
      <c r="F114" s="36" t="s">
        <v>11</v>
      </c>
      <c r="G114" s="84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90"/>
      <c r="S114" s="90"/>
      <c r="T114" s="90"/>
      <c r="U114" s="90"/>
      <c r="V114" s="91"/>
    </row>
    <row r="115" spans="1:22" ht="30" customHeight="1">
      <c r="A115" s="19">
        <v>113</v>
      </c>
      <c r="B115" s="20" t="s">
        <v>137</v>
      </c>
      <c r="C115" s="5" t="s">
        <v>8</v>
      </c>
      <c r="D115" s="7" t="s">
        <v>138</v>
      </c>
      <c r="E115" s="60" t="s">
        <v>67</v>
      </c>
      <c r="F115" s="36" t="s">
        <v>11</v>
      </c>
      <c r="G115" s="84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90"/>
      <c r="S115" s="90"/>
      <c r="T115" s="90"/>
      <c r="U115" s="90"/>
      <c r="V115" s="91"/>
    </row>
    <row r="116" spans="1:22" ht="30" customHeight="1">
      <c r="A116" s="19">
        <v>114</v>
      </c>
      <c r="B116" s="63" t="s">
        <v>139</v>
      </c>
      <c r="C116" s="5" t="s">
        <v>8</v>
      </c>
      <c r="D116" s="7" t="s">
        <v>138</v>
      </c>
      <c r="E116" s="60" t="s">
        <v>67</v>
      </c>
      <c r="F116" s="36" t="s">
        <v>11</v>
      </c>
      <c r="G116" s="84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90"/>
      <c r="S116" s="90"/>
      <c r="T116" s="90"/>
      <c r="U116" s="90"/>
      <c r="V116" s="91"/>
    </row>
    <row r="117" spans="1:22" ht="30" customHeight="1">
      <c r="A117" s="19">
        <v>115</v>
      </c>
      <c r="B117" s="20" t="s">
        <v>104</v>
      </c>
      <c r="C117" s="5" t="s">
        <v>8</v>
      </c>
      <c r="D117" s="7" t="s">
        <v>138</v>
      </c>
      <c r="E117" s="60" t="s">
        <v>67</v>
      </c>
      <c r="F117" s="36" t="s">
        <v>11</v>
      </c>
      <c r="G117" s="84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90"/>
      <c r="S117" s="90"/>
      <c r="T117" s="90"/>
      <c r="U117" s="90"/>
      <c r="V117" s="91"/>
    </row>
    <row r="118" spans="1:22" ht="30" customHeight="1">
      <c r="A118" s="19">
        <v>116</v>
      </c>
      <c r="B118" s="20" t="s">
        <v>104</v>
      </c>
      <c r="C118" s="5" t="s">
        <v>8</v>
      </c>
      <c r="D118" s="7" t="s">
        <v>138</v>
      </c>
      <c r="E118" s="60" t="s">
        <v>94</v>
      </c>
      <c r="F118" s="36" t="s">
        <v>11</v>
      </c>
      <c r="G118" s="84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90"/>
      <c r="S118" s="90"/>
      <c r="T118" s="90"/>
      <c r="U118" s="90"/>
      <c r="V118" s="91"/>
    </row>
    <row r="119" spans="1:22" ht="30" customHeight="1">
      <c r="A119" s="19">
        <v>117</v>
      </c>
      <c r="B119" s="20" t="s">
        <v>104</v>
      </c>
      <c r="C119" s="5" t="s">
        <v>8</v>
      </c>
      <c r="D119" s="7" t="s">
        <v>138</v>
      </c>
      <c r="E119" s="60" t="s">
        <v>94</v>
      </c>
      <c r="F119" s="36" t="s">
        <v>11</v>
      </c>
      <c r="G119" s="84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90"/>
      <c r="S119" s="90"/>
      <c r="T119" s="90"/>
      <c r="U119" s="90"/>
      <c r="V119" s="91"/>
    </row>
    <row r="120" spans="1:22" ht="30" customHeight="1">
      <c r="A120" s="19">
        <v>118</v>
      </c>
      <c r="B120" s="70" t="s">
        <v>140</v>
      </c>
      <c r="C120" s="5" t="s">
        <v>8</v>
      </c>
      <c r="D120" s="7" t="s">
        <v>138</v>
      </c>
      <c r="E120" s="60" t="s">
        <v>67</v>
      </c>
      <c r="F120" s="36" t="s">
        <v>11</v>
      </c>
      <c r="G120" s="84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90"/>
      <c r="S120" s="90"/>
      <c r="T120" s="90"/>
      <c r="U120" s="90"/>
      <c r="V120" s="91"/>
    </row>
    <row r="121" spans="1:22" ht="30" customHeight="1">
      <c r="A121" s="19">
        <v>119</v>
      </c>
      <c r="B121" s="20" t="s">
        <v>141</v>
      </c>
      <c r="C121" s="5" t="s">
        <v>8</v>
      </c>
      <c r="D121" s="7" t="s">
        <v>138</v>
      </c>
      <c r="E121" s="60" t="s">
        <v>67</v>
      </c>
      <c r="F121" s="36" t="s">
        <v>11</v>
      </c>
      <c r="G121" s="84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90"/>
      <c r="S121" s="90"/>
      <c r="T121" s="90"/>
      <c r="U121" s="90"/>
      <c r="V121" s="91"/>
    </row>
    <row r="122" spans="1:22" ht="30" customHeight="1">
      <c r="A122" s="19">
        <v>120</v>
      </c>
      <c r="B122" s="20" t="s">
        <v>104</v>
      </c>
      <c r="C122" s="5" t="s">
        <v>8</v>
      </c>
      <c r="D122" s="7" t="s">
        <v>138</v>
      </c>
      <c r="E122" s="60" t="s">
        <v>67</v>
      </c>
      <c r="F122" s="36" t="s">
        <v>11</v>
      </c>
      <c r="G122" s="84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90"/>
      <c r="S122" s="90"/>
      <c r="T122" s="90"/>
      <c r="U122" s="90"/>
      <c r="V122" s="91"/>
    </row>
    <row r="123" spans="1:22" ht="30" customHeight="1">
      <c r="A123" s="19">
        <v>121</v>
      </c>
      <c r="B123" s="20" t="s">
        <v>142</v>
      </c>
      <c r="C123" s="5" t="s">
        <v>8</v>
      </c>
      <c r="D123" s="7" t="s">
        <v>138</v>
      </c>
      <c r="E123" s="60" t="s">
        <v>55</v>
      </c>
      <c r="F123" s="36" t="s">
        <v>11</v>
      </c>
      <c r="G123" s="84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90"/>
      <c r="S123" s="90"/>
      <c r="T123" s="90"/>
      <c r="U123" s="90"/>
      <c r="V123" s="91"/>
    </row>
    <row r="124" spans="1:22" ht="30" customHeight="1">
      <c r="A124" s="19">
        <v>122</v>
      </c>
      <c r="B124" s="20" t="s">
        <v>143</v>
      </c>
      <c r="C124" s="5" t="s">
        <v>14</v>
      </c>
      <c r="D124" s="7" t="s">
        <v>138</v>
      </c>
      <c r="E124" s="60" t="s">
        <v>67</v>
      </c>
      <c r="F124" s="36" t="s">
        <v>11</v>
      </c>
      <c r="G124" s="84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90"/>
      <c r="S124" s="90"/>
      <c r="T124" s="90"/>
      <c r="U124" s="90"/>
      <c r="V124" s="91"/>
    </row>
    <row r="125" spans="1:22" ht="30" customHeight="1">
      <c r="A125" s="19">
        <v>123</v>
      </c>
      <c r="B125" s="20" t="s">
        <v>104</v>
      </c>
      <c r="C125" s="5" t="s">
        <v>14</v>
      </c>
      <c r="D125" s="7" t="s">
        <v>138</v>
      </c>
      <c r="E125" s="60" t="s">
        <v>94</v>
      </c>
      <c r="F125" s="36" t="s">
        <v>11</v>
      </c>
      <c r="G125" s="84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90"/>
      <c r="S125" s="90"/>
      <c r="T125" s="90"/>
      <c r="U125" s="90"/>
      <c r="V125" s="91"/>
    </row>
    <row r="126" spans="1:22" ht="30" customHeight="1">
      <c r="A126" s="19">
        <v>124</v>
      </c>
      <c r="B126" s="63" t="s">
        <v>144</v>
      </c>
      <c r="C126" s="5" t="s">
        <v>14</v>
      </c>
      <c r="D126" s="7" t="s">
        <v>138</v>
      </c>
      <c r="E126" s="60" t="s">
        <v>67</v>
      </c>
      <c r="F126" s="36" t="s">
        <v>11</v>
      </c>
      <c r="G126" s="84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90"/>
      <c r="S126" s="90"/>
      <c r="T126" s="90"/>
      <c r="U126" s="90"/>
      <c r="V126" s="91"/>
    </row>
    <row r="127" spans="1:22" ht="30" customHeight="1">
      <c r="A127" s="19">
        <v>125</v>
      </c>
      <c r="B127" s="20" t="s">
        <v>104</v>
      </c>
      <c r="C127" s="5" t="s">
        <v>14</v>
      </c>
      <c r="D127" s="7" t="s">
        <v>138</v>
      </c>
      <c r="E127" s="60" t="s">
        <v>67</v>
      </c>
      <c r="F127" s="36" t="s">
        <v>11</v>
      </c>
      <c r="G127" s="84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90"/>
      <c r="S127" s="90"/>
      <c r="T127" s="90"/>
      <c r="U127" s="90"/>
      <c r="V127" s="91"/>
    </row>
    <row r="128" spans="1:22" ht="30" customHeight="1">
      <c r="A128" s="19">
        <v>126</v>
      </c>
      <c r="B128" s="20" t="s">
        <v>145</v>
      </c>
      <c r="C128" s="5" t="s">
        <v>14</v>
      </c>
      <c r="D128" s="7" t="s">
        <v>138</v>
      </c>
      <c r="E128" s="60" t="s">
        <v>67</v>
      </c>
      <c r="F128" s="36" t="s">
        <v>11</v>
      </c>
      <c r="G128" s="84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90"/>
      <c r="S128" s="90"/>
      <c r="T128" s="90"/>
      <c r="U128" s="90"/>
      <c r="V128" s="91"/>
    </row>
    <row r="129" spans="1:22" ht="30" customHeight="1">
      <c r="A129" s="19">
        <v>127</v>
      </c>
      <c r="B129" s="63" t="s">
        <v>146</v>
      </c>
      <c r="C129" s="5" t="s">
        <v>14</v>
      </c>
      <c r="D129" s="7" t="s">
        <v>138</v>
      </c>
      <c r="E129" s="60" t="s">
        <v>67</v>
      </c>
      <c r="F129" s="36" t="s">
        <v>11</v>
      </c>
      <c r="G129" s="84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90"/>
      <c r="S129" s="90"/>
      <c r="T129" s="90"/>
      <c r="U129" s="90"/>
      <c r="V129" s="91"/>
    </row>
    <row r="130" spans="1:22" ht="30" customHeight="1">
      <c r="A130" s="19">
        <v>128</v>
      </c>
      <c r="B130" s="63" t="s">
        <v>144</v>
      </c>
      <c r="C130" s="5" t="s">
        <v>14</v>
      </c>
      <c r="D130" s="7" t="s">
        <v>138</v>
      </c>
      <c r="E130" s="60" t="s">
        <v>67</v>
      </c>
      <c r="F130" s="36" t="s">
        <v>11</v>
      </c>
      <c r="G130" s="84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90"/>
      <c r="S130" s="90"/>
      <c r="T130" s="90"/>
      <c r="U130" s="90"/>
      <c r="V130" s="91"/>
    </row>
    <row r="131" spans="1:22" ht="30" customHeight="1">
      <c r="A131" s="19">
        <v>129</v>
      </c>
      <c r="B131" s="63" t="s">
        <v>144</v>
      </c>
      <c r="C131" s="5" t="s">
        <v>14</v>
      </c>
      <c r="D131" s="7" t="s">
        <v>138</v>
      </c>
      <c r="E131" s="60" t="s">
        <v>67</v>
      </c>
      <c r="F131" s="36" t="s">
        <v>11</v>
      </c>
      <c r="G131" s="84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90"/>
      <c r="S131" s="90"/>
      <c r="T131" s="90"/>
      <c r="U131" s="90"/>
      <c r="V131" s="91"/>
    </row>
    <row r="132" spans="1:22" ht="30" customHeight="1">
      <c r="A132" s="19">
        <v>130</v>
      </c>
      <c r="B132" s="20" t="s">
        <v>104</v>
      </c>
      <c r="C132" s="5" t="s">
        <v>17</v>
      </c>
      <c r="D132" s="7" t="s">
        <v>138</v>
      </c>
      <c r="E132" s="60" t="s">
        <v>67</v>
      </c>
      <c r="F132" s="36" t="s">
        <v>11</v>
      </c>
      <c r="G132" s="84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90"/>
      <c r="S132" s="90"/>
      <c r="T132" s="90"/>
      <c r="U132" s="90"/>
      <c r="V132" s="91"/>
    </row>
    <row r="133" spans="1:22" ht="30" customHeight="1">
      <c r="A133" s="19">
        <v>131</v>
      </c>
      <c r="B133" s="63" t="s">
        <v>144</v>
      </c>
      <c r="C133" s="5" t="s">
        <v>17</v>
      </c>
      <c r="D133" s="7" t="s">
        <v>138</v>
      </c>
      <c r="E133" s="60" t="s">
        <v>67</v>
      </c>
      <c r="F133" s="36" t="s">
        <v>11</v>
      </c>
      <c r="G133" s="84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90"/>
      <c r="S133" s="90"/>
      <c r="T133" s="90"/>
      <c r="U133" s="90"/>
      <c r="V133" s="91"/>
    </row>
    <row r="134" spans="1:22" ht="30" customHeight="1">
      <c r="A134" s="19">
        <v>132</v>
      </c>
      <c r="B134" s="20" t="s">
        <v>143</v>
      </c>
      <c r="C134" s="5" t="s">
        <v>8</v>
      </c>
      <c r="D134" s="7" t="s">
        <v>138</v>
      </c>
      <c r="E134" s="60" t="s">
        <v>94</v>
      </c>
      <c r="F134" s="36" t="s">
        <v>11</v>
      </c>
      <c r="G134" s="84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90"/>
      <c r="S134" s="90"/>
      <c r="T134" s="90"/>
      <c r="U134" s="90"/>
      <c r="V134" s="91"/>
    </row>
    <row r="135" spans="1:22" ht="30" customHeight="1">
      <c r="A135" s="19">
        <v>133</v>
      </c>
      <c r="B135" s="20" t="s">
        <v>147</v>
      </c>
      <c r="C135" s="5" t="s">
        <v>8</v>
      </c>
      <c r="D135" s="7" t="s">
        <v>138</v>
      </c>
      <c r="E135" s="60" t="s">
        <v>94</v>
      </c>
      <c r="F135" s="36" t="s">
        <v>11</v>
      </c>
      <c r="G135" s="84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90"/>
      <c r="S135" s="90"/>
      <c r="T135" s="90"/>
      <c r="U135" s="90"/>
      <c r="V135" s="91"/>
    </row>
    <row r="136" spans="1:22" ht="30" customHeight="1">
      <c r="A136" s="19">
        <v>134</v>
      </c>
      <c r="B136" s="20" t="s">
        <v>148</v>
      </c>
      <c r="C136" s="5" t="s">
        <v>14</v>
      </c>
      <c r="D136" s="7" t="s">
        <v>138</v>
      </c>
      <c r="E136" s="60" t="s">
        <v>94</v>
      </c>
      <c r="F136" s="36" t="s">
        <v>11</v>
      </c>
      <c r="G136" s="84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90"/>
      <c r="S136" s="90"/>
      <c r="T136" s="90"/>
      <c r="U136" s="90"/>
      <c r="V136" s="91"/>
    </row>
    <row r="137" spans="1:22" ht="30" customHeight="1">
      <c r="A137" s="19">
        <v>135</v>
      </c>
      <c r="B137" s="20" t="s">
        <v>149</v>
      </c>
      <c r="C137" s="5" t="s">
        <v>14</v>
      </c>
      <c r="D137" s="7" t="s">
        <v>138</v>
      </c>
      <c r="E137" s="60" t="s">
        <v>94</v>
      </c>
      <c r="F137" s="36" t="s">
        <v>11</v>
      </c>
      <c r="G137" s="84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90"/>
      <c r="S137" s="90"/>
      <c r="T137" s="90"/>
      <c r="U137" s="90"/>
      <c r="V137" s="91"/>
    </row>
    <row r="138" spans="1:22" ht="30" customHeight="1">
      <c r="A138" s="19">
        <v>136</v>
      </c>
      <c r="B138" s="20" t="s">
        <v>104</v>
      </c>
      <c r="C138" s="5" t="s">
        <v>17</v>
      </c>
      <c r="D138" s="7" t="s">
        <v>138</v>
      </c>
      <c r="E138" s="60" t="s">
        <v>94</v>
      </c>
      <c r="F138" s="36" t="s">
        <v>11</v>
      </c>
      <c r="G138" s="84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90"/>
      <c r="S138" s="90"/>
      <c r="T138" s="90"/>
      <c r="U138" s="90"/>
      <c r="V138" s="91"/>
    </row>
    <row r="139" spans="1:22" ht="30" customHeight="1">
      <c r="A139" s="19">
        <v>137</v>
      </c>
      <c r="B139" s="20" t="s">
        <v>150</v>
      </c>
      <c r="C139" s="5" t="s">
        <v>17</v>
      </c>
      <c r="D139" s="7" t="s">
        <v>138</v>
      </c>
      <c r="E139" s="60" t="s">
        <v>60</v>
      </c>
      <c r="F139" s="36" t="s">
        <v>11</v>
      </c>
      <c r="G139" s="84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90"/>
      <c r="S139" s="90"/>
      <c r="T139" s="90"/>
      <c r="U139" s="90"/>
      <c r="V139" s="91"/>
    </row>
    <row r="140" spans="1:22" ht="30" customHeight="1">
      <c r="A140" s="19">
        <v>138</v>
      </c>
      <c r="B140" s="63" t="s">
        <v>151</v>
      </c>
      <c r="C140" s="5" t="s">
        <v>17</v>
      </c>
      <c r="D140" s="7" t="s">
        <v>138</v>
      </c>
      <c r="E140" s="60" t="s">
        <v>67</v>
      </c>
      <c r="F140" s="36" t="s">
        <v>11</v>
      </c>
      <c r="G140" s="84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90"/>
      <c r="S140" s="90"/>
      <c r="T140" s="90"/>
      <c r="U140" s="90"/>
      <c r="V140" s="91"/>
    </row>
    <row r="141" spans="1:22" ht="30" customHeight="1">
      <c r="A141" s="19">
        <v>139</v>
      </c>
      <c r="B141" s="20" t="s">
        <v>150</v>
      </c>
      <c r="C141" s="5" t="s">
        <v>128</v>
      </c>
      <c r="D141" s="7" t="s">
        <v>138</v>
      </c>
      <c r="E141" s="60" t="s">
        <v>94</v>
      </c>
      <c r="F141" s="36" t="s">
        <v>11</v>
      </c>
      <c r="G141" s="84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90"/>
      <c r="S141" s="90"/>
      <c r="T141" s="90"/>
      <c r="U141" s="90"/>
      <c r="V141" s="91"/>
    </row>
    <row r="142" spans="1:22" ht="30" customHeight="1">
      <c r="A142" s="19">
        <v>140</v>
      </c>
      <c r="B142" s="63" t="s">
        <v>146</v>
      </c>
      <c r="C142" s="5" t="s">
        <v>128</v>
      </c>
      <c r="D142" s="7" t="s">
        <v>138</v>
      </c>
      <c r="E142" s="60" t="s">
        <v>67</v>
      </c>
      <c r="F142" s="36" t="s">
        <v>11</v>
      </c>
      <c r="G142" s="84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90"/>
      <c r="S142" s="90"/>
      <c r="T142" s="90"/>
      <c r="U142" s="90"/>
      <c r="V142" s="91"/>
    </row>
    <row r="143" spans="1:22" ht="30" customHeight="1">
      <c r="A143" s="19">
        <v>141</v>
      </c>
      <c r="B143" s="20" t="s">
        <v>104</v>
      </c>
      <c r="C143" s="5" t="s">
        <v>128</v>
      </c>
      <c r="D143" s="7" t="s">
        <v>138</v>
      </c>
      <c r="E143" s="60" t="s">
        <v>67</v>
      </c>
      <c r="F143" s="36" t="s">
        <v>11</v>
      </c>
      <c r="G143" s="84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90"/>
      <c r="S143" s="90"/>
      <c r="T143" s="90"/>
      <c r="U143" s="90"/>
      <c r="V143" s="91"/>
    </row>
    <row r="144" spans="1:22" ht="30" customHeight="1">
      <c r="A144" s="19">
        <v>142</v>
      </c>
      <c r="B144" s="20" t="s">
        <v>152</v>
      </c>
      <c r="C144" s="5" t="s">
        <v>128</v>
      </c>
      <c r="D144" s="7" t="s">
        <v>138</v>
      </c>
      <c r="E144" s="60" t="s">
        <v>67</v>
      </c>
      <c r="F144" s="36" t="s">
        <v>11</v>
      </c>
      <c r="G144" s="84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90"/>
      <c r="S144" s="90"/>
      <c r="T144" s="90"/>
      <c r="U144" s="90"/>
      <c r="V144" s="91"/>
    </row>
    <row r="145" spans="1:22" ht="30" customHeight="1">
      <c r="A145" s="19">
        <v>143</v>
      </c>
      <c r="B145" s="63" t="s">
        <v>153</v>
      </c>
      <c r="C145" s="5" t="s">
        <v>128</v>
      </c>
      <c r="D145" s="7" t="s">
        <v>138</v>
      </c>
      <c r="E145" s="60" t="s">
        <v>67</v>
      </c>
      <c r="F145" s="36" t="s">
        <v>11</v>
      </c>
      <c r="G145" s="84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90"/>
      <c r="S145" s="90"/>
      <c r="T145" s="90"/>
      <c r="U145" s="90"/>
      <c r="V145" s="91"/>
    </row>
    <row r="146" spans="1:22" ht="30" customHeight="1">
      <c r="A146" s="19">
        <v>144</v>
      </c>
      <c r="B146" s="63" t="s">
        <v>154</v>
      </c>
      <c r="C146" s="5" t="s">
        <v>128</v>
      </c>
      <c r="D146" s="7" t="s">
        <v>138</v>
      </c>
      <c r="E146" s="60" t="s">
        <v>67</v>
      </c>
      <c r="F146" s="36" t="s">
        <v>11</v>
      </c>
      <c r="G146" s="84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90"/>
      <c r="S146" s="90"/>
      <c r="T146" s="90"/>
      <c r="U146" s="90"/>
      <c r="V146" s="91"/>
    </row>
    <row r="147" spans="1:22" ht="30" customHeight="1">
      <c r="A147" s="19">
        <v>145</v>
      </c>
      <c r="B147" s="20" t="s">
        <v>155</v>
      </c>
      <c r="C147" s="5" t="s">
        <v>128</v>
      </c>
      <c r="D147" s="7" t="s">
        <v>138</v>
      </c>
      <c r="E147" s="60" t="s">
        <v>47</v>
      </c>
      <c r="F147" s="36" t="s">
        <v>11</v>
      </c>
      <c r="G147" s="84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90"/>
      <c r="S147" s="90"/>
      <c r="T147" s="90"/>
      <c r="U147" s="90"/>
      <c r="V147" s="91"/>
    </row>
    <row r="148" spans="1:22" ht="30" customHeight="1">
      <c r="A148" s="19">
        <v>146</v>
      </c>
      <c r="B148" s="63" t="s">
        <v>153</v>
      </c>
      <c r="C148" s="5" t="s">
        <v>128</v>
      </c>
      <c r="D148" s="7" t="s">
        <v>138</v>
      </c>
      <c r="E148" s="60" t="s">
        <v>67</v>
      </c>
      <c r="F148" s="36" t="s">
        <v>11</v>
      </c>
      <c r="G148" s="84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90"/>
      <c r="S148" s="90"/>
      <c r="T148" s="90"/>
      <c r="U148" s="90"/>
      <c r="V148" s="91"/>
    </row>
    <row r="149" spans="1:22" ht="30" customHeight="1">
      <c r="A149" s="19">
        <v>147</v>
      </c>
      <c r="B149" s="20" t="s">
        <v>150</v>
      </c>
      <c r="C149" s="5" t="s">
        <v>128</v>
      </c>
      <c r="D149" s="7" t="s">
        <v>138</v>
      </c>
      <c r="E149" s="60" t="s">
        <v>60</v>
      </c>
      <c r="F149" s="36" t="s">
        <v>11</v>
      </c>
      <c r="G149" s="84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90"/>
      <c r="S149" s="90"/>
      <c r="T149" s="90"/>
      <c r="U149" s="90"/>
      <c r="V149" s="91"/>
    </row>
    <row r="150" spans="1:22" ht="30" customHeight="1">
      <c r="A150" s="19">
        <v>148</v>
      </c>
      <c r="B150" s="20" t="s">
        <v>156</v>
      </c>
      <c r="C150" s="5" t="s">
        <v>128</v>
      </c>
      <c r="D150" s="7" t="s">
        <v>138</v>
      </c>
      <c r="E150" s="60" t="s">
        <v>157</v>
      </c>
      <c r="F150" s="36" t="s">
        <v>11</v>
      </c>
      <c r="G150" s="84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90"/>
      <c r="S150" s="90"/>
      <c r="T150" s="90"/>
      <c r="U150" s="90"/>
      <c r="V150" s="91"/>
    </row>
    <row r="151" spans="1:22" ht="30" customHeight="1">
      <c r="A151" s="19">
        <v>149</v>
      </c>
      <c r="B151" s="20" t="s">
        <v>158</v>
      </c>
      <c r="C151" s="5" t="s">
        <v>128</v>
      </c>
      <c r="D151" s="7" t="s">
        <v>138</v>
      </c>
      <c r="E151" s="60" t="s">
        <v>55</v>
      </c>
      <c r="F151" s="36" t="s">
        <v>11</v>
      </c>
      <c r="G151" s="84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90"/>
      <c r="S151" s="90"/>
      <c r="T151" s="90"/>
      <c r="U151" s="90"/>
      <c r="V151" s="91"/>
    </row>
    <row r="152" spans="1:22" ht="30" customHeight="1">
      <c r="A152" s="19">
        <v>150</v>
      </c>
      <c r="B152" s="20" t="s">
        <v>159</v>
      </c>
      <c r="C152" s="5" t="s">
        <v>17</v>
      </c>
      <c r="D152" s="7" t="s">
        <v>138</v>
      </c>
      <c r="E152" s="60" t="s">
        <v>94</v>
      </c>
      <c r="F152" s="36" t="s">
        <v>11</v>
      </c>
      <c r="G152" s="84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90"/>
      <c r="S152" s="90"/>
      <c r="T152" s="90"/>
      <c r="U152" s="90"/>
      <c r="V152" s="91"/>
    </row>
    <row r="153" spans="1:22" ht="21">
      <c r="A153" s="19">
        <v>151</v>
      </c>
      <c r="B153" s="20" t="s">
        <v>160</v>
      </c>
      <c r="C153" s="5" t="s">
        <v>17</v>
      </c>
      <c r="D153" s="7" t="s">
        <v>138</v>
      </c>
      <c r="E153" s="60" t="s">
        <v>94</v>
      </c>
      <c r="F153" s="36" t="s">
        <v>11</v>
      </c>
      <c r="G153" s="84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90"/>
      <c r="S153" s="90"/>
      <c r="T153" s="90"/>
      <c r="U153" s="90"/>
      <c r="V153" s="91"/>
    </row>
    <row r="154" spans="1:22" ht="21">
      <c r="A154" s="19">
        <v>152</v>
      </c>
      <c r="B154" s="20" t="s">
        <v>161</v>
      </c>
      <c r="C154" s="5" t="s">
        <v>17</v>
      </c>
      <c r="D154" s="7" t="s">
        <v>138</v>
      </c>
      <c r="E154" s="60" t="s">
        <v>94</v>
      </c>
      <c r="F154" s="36" t="s">
        <v>11</v>
      </c>
      <c r="G154" s="84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90"/>
      <c r="S154" s="90"/>
      <c r="T154" s="90"/>
      <c r="U154" s="90"/>
      <c r="V154" s="91"/>
    </row>
    <row r="155" spans="1:22" ht="21">
      <c r="A155" s="19">
        <v>153</v>
      </c>
      <c r="B155" s="20" t="s">
        <v>162</v>
      </c>
      <c r="C155" s="5" t="s">
        <v>17</v>
      </c>
      <c r="D155" s="7" t="s">
        <v>138</v>
      </c>
      <c r="E155" s="60" t="s">
        <v>94</v>
      </c>
      <c r="F155" s="36" t="s">
        <v>11</v>
      </c>
      <c r="G155" s="84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90"/>
      <c r="S155" s="90"/>
      <c r="T155" s="90"/>
      <c r="U155" s="90"/>
      <c r="V155" s="91"/>
    </row>
    <row r="156" spans="1:22" ht="21">
      <c r="A156" s="19">
        <v>154</v>
      </c>
      <c r="B156" s="20" t="s">
        <v>163</v>
      </c>
      <c r="C156" s="5" t="s">
        <v>17</v>
      </c>
      <c r="D156" s="7" t="s">
        <v>138</v>
      </c>
      <c r="E156" s="60" t="s">
        <v>94</v>
      </c>
      <c r="F156" s="36" t="s">
        <v>11</v>
      </c>
      <c r="G156" s="84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90"/>
      <c r="S156" s="90"/>
      <c r="T156" s="90"/>
      <c r="U156" s="90"/>
      <c r="V156" s="91"/>
    </row>
    <row r="157" spans="1:22" ht="20.25">
      <c r="A157" s="19">
        <v>155</v>
      </c>
      <c r="B157" s="20" t="s">
        <v>164</v>
      </c>
      <c r="C157" s="5" t="s">
        <v>128</v>
      </c>
      <c r="D157" s="7" t="s">
        <v>138</v>
      </c>
      <c r="E157" s="60" t="s">
        <v>94</v>
      </c>
      <c r="F157" s="36" t="s">
        <v>11</v>
      </c>
      <c r="G157" s="84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90"/>
      <c r="S157" s="90"/>
      <c r="T157" s="90"/>
      <c r="U157" s="90"/>
      <c r="V157" s="91"/>
    </row>
    <row r="158" spans="1:22" ht="20.25">
      <c r="A158" s="19">
        <v>156</v>
      </c>
      <c r="B158" s="63" t="s">
        <v>165</v>
      </c>
      <c r="C158" s="5" t="s">
        <v>128</v>
      </c>
      <c r="D158" s="7" t="s">
        <v>138</v>
      </c>
      <c r="E158" s="60" t="s">
        <v>94</v>
      </c>
      <c r="F158" s="36" t="s">
        <v>11</v>
      </c>
      <c r="G158" s="84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90"/>
      <c r="S158" s="90"/>
      <c r="T158" s="90"/>
      <c r="U158" s="90"/>
      <c r="V158" s="91"/>
    </row>
    <row r="159" spans="1:22" ht="20.25">
      <c r="A159" s="19">
        <v>157</v>
      </c>
      <c r="B159" s="63" t="s">
        <v>166</v>
      </c>
      <c r="C159" s="5" t="s">
        <v>128</v>
      </c>
      <c r="D159" s="7" t="s">
        <v>138</v>
      </c>
      <c r="E159" s="60" t="s">
        <v>94</v>
      </c>
      <c r="F159" s="36" t="s">
        <v>11</v>
      </c>
      <c r="G159" s="84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90"/>
      <c r="S159" s="90"/>
      <c r="T159" s="90"/>
      <c r="U159" s="90"/>
      <c r="V159" s="91"/>
    </row>
    <row r="160" spans="1:22" ht="20.25">
      <c r="A160" s="19">
        <v>158</v>
      </c>
      <c r="B160" s="71" t="s">
        <v>167</v>
      </c>
      <c r="C160" s="5" t="s">
        <v>14</v>
      </c>
      <c r="D160" s="7"/>
      <c r="E160" s="60"/>
      <c r="F160" s="36"/>
      <c r="G160" s="84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90"/>
      <c r="S160" s="90"/>
      <c r="T160" s="90"/>
      <c r="U160" s="90"/>
      <c r="V160" s="91"/>
    </row>
    <row r="161" spans="1:22" ht="20.25">
      <c r="A161" s="19">
        <v>159</v>
      </c>
      <c r="B161" s="72" t="s">
        <v>168</v>
      </c>
      <c r="C161" s="75" t="s">
        <v>8</v>
      </c>
      <c r="D161" s="76" t="s">
        <v>169</v>
      </c>
      <c r="E161" s="77" t="s">
        <v>94</v>
      </c>
      <c r="F161" s="80" t="s">
        <v>11</v>
      </c>
      <c r="G161" s="84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90"/>
      <c r="S161" s="90"/>
      <c r="T161" s="90"/>
      <c r="U161" s="90"/>
      <c r="V161" s="91"/>
    </row>
    <row r="162" spans="1:22" ht="20.25">
      <c r="A162" s="19">
        <v>160</v>
      </c>
      <c r="B162" s="64" t="s">
        <v>170</v>
      </c>
      <c r="C162" s="78" t="s">
        <v>8</v>
      </c>
      <c r="D162" s="79" t="s">
        <v>169</v>
      </c>
      <c r="E162" s="77" t="s">
        <v>67</v>
      </c>
      <c r="F162" s="80" t="s">
        <v>11</v>
      </c>
      <c r="G162" s="84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90"/>
      <c r="S162" s="90"/>
      <c r="T162" s="90"/>
      <c r="U162" s="90"/>
      <c r="V162" s="91"/>
    </row>
    <row r="163" spans="1:22" ht="20.25">
      <c r="A163" s="19">
        <v>161</v>
      </c>
      <c r="B163" s="73" t="s">
        <v>171</v>
      </c>
      <c r="C163" s="78" t="s">
        <v>8</v>
      </c>
      <c r="D163" s="79" t="s">
        <v>169</v>
      </c>
      <c r="E163" s="77" t="s">
        <v>55</v>
      </c>
      <c r="F163" s="80" t="s">
        <v>11</v>
      </c>
      <c r="G163" s="84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90"/>
      <c r="S163" s="90"/>
      <c r="T163" s="90"/>
      <c r="U163" s="90"/>
      <c r="V163" s="91"/>
    </row>
    <row r="164" spans="1:22" ht="20.25">
      <c r="A164" s="19">
        <v>162</v>
      </c>
      <c r="B164" s="64" t="s">
        <v>172</v>
      </c>
      <c r="C164" s="78" t="s">
        <v>8</v>
      </c>
      <c r="D164" s="79" t="s">
        <v>169</v>
      </c>
      <c r="E164" s="77" t="s">
        <v>132</v>
      </c>
      <c r="F164" s="80" t="s">
        <v>11</v>
      </c>
      <c r="G164" s="84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90"/>
      <c r="S164" s="90"/>
      <c r="T164" s="90"/>
      <c r="U164" s="90"/>
      <c r="V164" s="91"/>
    </row>
    <row r="165" spans="1:22" ht="20.25">
      <c r="A165" s="19">
        <v>163</v>
      </c>
      <c r="B165" s="64" t="s">
        <v>173</v>
      </c>
      <c r="C165" s="78" t="s">
        <v>8</v>
      </c>
      <c r="D165" s="79" t="s">
        <v>169</v>
      </c>
      <c r="E165" s="77" t="s">
        <v>157</v>
      </c>
      <c r="F165" s="80" t="s">
        <v>11</v>
      </c>
      <c r="G165" s="84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90"/>
      <c r="S165" s="90"/>
      <c r="T165" s="90"/>
      <c r="U165" s="90"/>
      <c r="V165" s="91"/>
    </row>
    <row r="166" spans="1:22" ht="20.25">
      <c r="A166" s="19">
        <v>164</v>
      </c>
      <c r="B166" s="64" t="s">
        <v>174</v>
      </c>
      <c r="C166" s="78" t="s">
        <v>8</v>
      </c>
      <c r="D166" s="79" t="s">
        <v>169</v>
      </c>
      <c r="E166" s="77" t="s">
        <v>94</v>
      </c>
      <c r="F166" s="80" t="s">
        <v>11</v>
      </c>
      <c r="G166" s="84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90"/>
      <c r="S166" s="90"/>
      <c r="T166" s="90"/>
      <c r="U166" s="90"/>
      <c r="V166" s="91"/>
    </row>
    <row r="167" spans="1:22" ht="20.25">
      <c r="A167" s="19">
        <v>165</v>
      </c>
      <c r="B167" s="73" t="s">
        <v>175</v>
      </c>
      <c r="C167" s="78" t="s">
        <v>8</v>
      </c>
      <c r="D167" s="79" t="s">
        <v>169</v>
      </c>
      <c r="E167" s="77" t="s">
        <v>176</v>
      </c>
      <c r="F167" s="80" t="s">
        <v>11</v>
      </c>
      <c r="G167" s="84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90"/>
      <c r="S167" s="90"/>
      <c r="T167" s="90"/>
      <c r="U167" s="90"/>
      <c r="V167" s="91"/>
    </row>
    <row r="168" spans="1:22" ht="20.25">
      <c r="A168" s="19">
        <v>166</v>
      </c>
      <c r="B168" s="64" t="s">
        <v>145</v>
      </c>
      <c r="C168" s="78" t="s">
        <v>14</v>
      </c>
      <c r="D168" s="79" t="s">
        <v>169</v>
      </c>
      <c r="E168" s="77" t="s">
        <v>94</v>
      </c>
      <c r="F168" s="80" t="s">
        <v>11</v>
      </c>
      <c r="G168" s="84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90"/>
      <c r="S168" s="90"/>
      <c r="T168" s="90"/>
      <c r="U168" s="90"/>
      <c r="V168" s="91"/>
    </row>
    <row r="169" spans="1:22" ht="20.25">
      <c r="A169" s="19">
        <v>167</v>
      </c>
      <c r="B169" s="73" t="s">
        <v>177</v>
      </c>
      <c r="C169" s="78" t="s">
        <v>14</v>
      </c>
      <c r="D169" s="79" t="s">
        <v>169</v>
      </c>
      <c r="E169" s="77" t="s">
        <v>67</v>
      </c>
      <c r="F169" s="80" t="s">
        <v>11</v>
      </c>
      <c r="G169" s="84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90"/>
      <c r="S169" s="90"/>
      <c r="T169" s="90"/>
      <c r="U169" s="90"/>
      <c r="V169" s="91"/>
    </row>
    <row r="170" spans="1:22" ht="20.25">
      <c r="A170" s="19">
        <v>168</v>
      </c>
      <c r="B170" s="55" t="s">
        <v>178</v>
      </c>
      <c r="C170" s="78" t="s">
        <v>14</v>
      </c>
      <c r="D170" s="79" t="s">
        <v>169</v>
      </c>
      <c r="E170" s="77" t="s">
        <v>67</v>
      </c>
      <c r="F170" s="80" t="s">
        <v>11</v>
      </c>
      <c r="G170" s="84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90"/>
      <c r="S170" s="90"/>
      <c r="T170" s="90"/>
      <c r="U170" s="90"/>
      <c r="V170" s="91"/>
    </row>
    <row r="171" spans="1:22" ht="30" customHeight="1">
      <c r="A171" s="19">
        <v>169</v>
      </c>
      <c r="B171" s="55" t="s">
        <v>179</v>
      </c>
      <c r="C171" s="78" t="s">
        <v>14</v>
      </c>
      <c r="D171" s="79" t="s">
        <v>169</v>
      </c>
      <c r="E171" s="77" t="s">
        <v>180</v>
      </c>
      <c r="F171" s="80" t="s">
        <v>11</v>
      </c>
      <c r="G171" s="84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90"/>
      <c r="S171" s="90"/>
      <c r="T171" s="90"/>
      <c r="U171" s="90"/>
      <c r="V171" s="91"/>
    </row>
    <row r="172" spans="1:22" ht="30" customHeight="1">
      <c r="A172" s="19">
        <v>170</v>
      </c>
      <c r="B172" s="55" t="s">
        <v>181</v>
      </c>
      <c r="C172" s="78" t="s">
        <v>14</v>
      </c>
      <c r="D172" s="79" t="s">
        <v>169</v>
      </c>
      <c r="E172" s="77" t="s">
        <v>176</v>
      </c>
      <c r="F172" s="80" t="s">
        <v>11</v>
      </c>
      <c r="G172" s="84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90"/>
      <c r="S172" s="90"/>
      <c r="T172" s="90"/>
      <c r="U172" s="90"/>
      <c r="V172" s="91"/>
    </row>
    <row r="173" spans="1:22" ht="30" customHeight="1">
      <c r="A173" s="19">
        <v>171</v>
      </c>
      <c r="B173" s="55" t="s">
        <v>182</v>
      </c>
      <c r="C173" s="78" t="s">
        <v>14</v>
      </c>
      <c r="D173" s="79" t="s">
        <v>169</v>
      </c>
      <c r="E173" s="77" t="s">
        <v>94</v>
      </c>
      <c r="F173" s="80" t="s">
        <v>11</v>
      </c>
      <c r="G173" s="84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90"/>
      <c r="S173" s="90"/>
      <c r="T173" s="90"/>
      <c r="U173" s="90"/>
      <c r="V173" s="91"/>
    </row>
    <row r="174" spans="1:22" ht="30" customHeight="1">
      <c r="A174" s="19">
        <v>172</v>
      </c>
      <c r="B174" s="55" t="s">
        <v>183</v>
      </c>
      <c r="C174" s="78" t="s">
        <v>17</v>
      </c>
      <c r="D174" s="79" t="s">
        <v>169</v>
      </c>
      <c r="E174" s="77" t="s">
        <v>94</v>
      </c>
      <c r="F174" s="80" t="s">
        <v>11</v>
      </c>
      <c r="G174" s="84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90"/>
      <c r="S174" s="90"/>
      <c r="T174" s="90"/>
      <c r="U174" s="90"/>
      <c r="V174" s="91"/>
    </row>
    <row r="175" spans="1:22" ht="30" customHeight="1">
      <c r="A175" s="19">
        <v>173</v>
      </c>
      <c r="B175" s="55" t="s">
        <v>184</v>
      </c>
      <c r="C175" s="78" t="s">
        <v>17</v>
      </c>
      <c r="D175" s="79" t="s">
        <v>169</v>
      </c>
      <c r="E175" s="77" t="s">
        <v>176</v>
      </c>
      <c r="F175" s="80" t="s">
        <v>11</v>
      </c>
      <c r="G175" s="84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90"/>
      <c r="S175" s="90"/>
      <c r="T175" s="90"/>
      <c r="U175" s="90"/>
      <c r="V175" s="91"/>
    </row>
    <row r="176" spans="1:22" ht="30" customHeight="1">
      <c r="A176" s="19">
        <v>174</v>
      </c>
      <c r="B176" s="55" t="s">
        <v>185</v>
      </c>
      <c r="C176" s="78" t="s">
        <v>17</v>
      </c>
      <c r="D176" s="79" t="s">
        <v>169</v>
      </c>
      <c r="E176" s="77" t="s">
        <v>157</v>
      </c>
      <c r="F176" s="80" t="s">
        <v>11</v>
      </c>
      <c r="G176" s="84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90"/>
      <c r="S176" s="90"/>
      <c r="T176" s="90"/>
      <c r="U176" s="90"/>
      <c r="V176" s="91"/>
    </row>
    <row r="177" spans="1:22" ht="30" customHeight="1">
      <c r="A177" s="19">
        <v>175</v>
      </c>
      <c r="B177" s="55" t="s">
        <v>186</v>
      </c>
      <c r="C177" s="78" t="s">
        <v>17</v>
      </c>
      <c r="D177" s="79" t="s">
        <v>169</v>
      </c>
      <c r="E177" s="77" t="s">
        <v>132</v>
      </c>
      <c r="F177" s="80" t="s">
        <v>11</v>
      </c>
      <c r="G177" s="84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90"/>
      <c r="S177" s="90"/>
      <c r="T177" s="90"/>
      <c r="U177" s="90"/>
      <c r="V177" s="91"/>
    </row>
    <row r="178" spans="1:22" ht="30" customHeight="1">
      <c r="A178" s="19">
        <v>176</v>
      </c>
      <c r="B178" s="74" t="s">
        <v>187</v>
      </c>
      <c r="C178" s="78" t="s">
        <v>17</v>
      </c>
      <c r="D178" s="79" t="s">
        <v>169</v>
      </c>
      <c r="E178" s="77" t="s">
        <v>180</v>
      </c>
      <c r="F178" s="80" t="s">
        <v>11</v>
      </c>
      <c r="G178" s="84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90"/>
      <c r="S178" s="90"/>
      <c r="T178" s="90"/>
      <c r="U178" s="90"/>
      <c r="V178" s="91"/>
    </row>
    <row r="179" spans="1:22" ht="30" customHeight="1">
      <c r="A179" s="19">
        <v>177</v>
      </c>
      <c r="B179" s="55" t="s">
        <v>188</v>
      </c>
      <c r="C179" s="78" t="s">
        <v>128</v>
      </c>
      <c r="D179" s="79" t="s">
        <v>169</v>
      </c>
      <c r="E179" s="77" t="s">
        <v>67</v>
      </c>
      <c r="F179" s="80" t="s">
        <v>11</v>
      </c>
      <c r="G179" s="84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90"/>
      <c r="S179" s="90"/>
      <c r="T179" s="90"/>
      <c r="U179" s="90"/>
      <c r="V179" s="91"/>
    </row>
    <row r="180" spans="1:22" ht="30" customHeight="1">
      <c r="A180" s="19">
        <v>178</v>
      </c>
      <c r="B180" s="55" t="s">
        <v>170</v>
      </c>
      <c r="C180" s="78" t="s">
        <v>128</v>
      </c>
      <c r="D180" s="79" t="s">
        <v>169</v>
      </c>
      <c r="E180" s="77" t="s">
        <v>67</v>
      </c>
      <c r="F180" s="80" t="s">
        <v>11</v>
      </c>
      <c r="G180" s="84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90"/>
      <c r="S180" s="90"/>
      <c r="T180" s="90"/>
      <c r="U180" s="90"/>
      <c r="V180" s="91"/>
    </row>
    <row r="181" spans="1:22" ht="30" customHeight="1">
      <c r="A181" s="19">
        <v>179</v>
      </c>
      <c r="B181" s="74" t="s">
        <v>189</v>
      </c>
      <c r="C181" s="78" t="s">
        <v>128</v>
      </c>
      <c r="D181" s="79" t="s">
        <v>169</v>
      </c>
      <c r="E181" s="77" t="s">
        <v>67</v>
      </c>
      <c r="F181" s="80" t="s">
        <v>11</v>
      </c>
      <c r="G181" s="84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90"/>
      <c r="S181" s="90"/>
      <c r="T181" s="90"/>
      <c r="U181" s="90"/>
      <c r="V181" s="91"/>
    </row>
    <row r="182" spans="1:22" ht="30" customHeight="1">
      <c r="A182" s="19">
        <v>180</v>
      </c>
      <c r="B182" s="55" t="s">
        <v>190</v>
      </c>
      <c r="C182" s="78" t="s">
        <v>128</v>
      </c>
      <c r="D182" s="79" t="s">
        <v>169</v>
      </c>
      <c r="E182" s="77" t="s">
        <v>67</v>
      </c>
      <c r="F182" s="80" t="s">
        <v>11</v>
      </c>
      <c r="G182" s="84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90"/>
      <c r="S182" s="90"/>
      <c r="T182" s="90"/>
      <c r="U182" s="90"/>
      <c r="V182" s="91"/>
    </row>
    <row r="183" spans="1:22" ht="30" customHeight="1">
      <c r="A183" s="19">
        <v>181</v>
      </c>
      <c r="B183" s="55" t="s">
        <v>191</v>
      </c>
      <c r="C183" s="78" t="s">
        <v>128</v>
      </c>
      <c r="D183" s="79" t="s">
        <v>169</v>
      </c>
      <c r="E183" s="77" t="s">
        <v>180</v>
      </c>
      <c r="F183" s="80" t="s">
        <v>11</v>
      </c>
      <c r="G183" s="84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90"/>
      <c r="S183" s="90"/>
      <c r="T183" s="90"/>
      <c r="U183" s="90"/>
      <c r="V183" s="91"/>
    </row>
    <row r="184" spans="1:22" ht="30" customHeight="1">
      <c r="A184" s="19">
        <v>182</v>
      </c>
      <c r="B184" s="55" t="s">
        <v>192</v>
      </c>
      <c r="C184" s="78" t="s">
        <v>128</v>
      </c>
      <c r="D184" s="79" t="s">
        <v>169</v>
      </c>
      <c r="E184" s="77" t="s">
        <v>180</v>
      </c>
      <c r="F184" s="80" t="s">
        <v>11</v>
      </c>
      <c r="G184" s="84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90"/>
      <c r="S184" s="90"/>
      <c r="T184" s="90"/>
      <c r="U184" s="90"/>
      <c r="V184" s="91"/>
    </row>
    <row r="185" spans="1:22" ht="30" customHeight="1">
      <c r="A185" s="19">
        <v>183</v>
      </c>
      <c r="B185" s="55" t="s">
        <v>193</v>
      </c>
      <c r="C185" s="78" t="s">
        <v>128</v>
      </c>
      <c r="D185" s="79" t="s">
        <v>169</v>
      </c>
      <c r="E185" s="77" t="s">
        <v>132</v>
      </c>
      <c r="F185" s="80" t="s">
        <v>11</v>
      </c>
      <c r="G185" s="84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90"/>
      <c r="S185" s="90"/>
      <c r="T185" s="90"/>
      <c r="U185" s="90"/>
      <c r="V185" s="91"/>
    </row>
    <row r="186" spans="1:22" ht="30" customHeight="1">
      <c r="A186" s="19">
        <v>184</v>
      </c>
      <c r="B186" s="55" t="s">
        <v>194</v>
      </c>
      <c r="C186" s="78" t="s">
        <v>128</v>
      </c>
      <c r="D186" s="79" t="s">
        <v>169</v>
      </c>
      <c r="E186" s="77" t="s">
        <v>67</v>
      </c>
      <c r="F186" s="82" t="s">
        <v>15</v>
      </c>
      <c r="G186" s="84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90"/>
      <c r="S186" s="90"/>
      <c r="T186" s="90"/>
      <c r="U186" s="90"/>
      <c r="V186" s="91"/>
    </row>
    <row r="187" spans="1:22" ht="30" customHeight="1">
      <c r="A187" s="19">
        <v>185</v>
      </c>
      <c r="B187" s="74" t="s">
        <v>175</v>
      </c>
      <c r="C187" s="78" t="s">
        <v>128</v>
      </c>
      <c r="D187" s="79" t="s">
        <v>169</v>
      </c>
      <c r="E187" s="77" t="s">
        <v>176</v>
      </c>
      <c r="F187" s="80" t="s">
        <v>11</v>
      </c>
      <c r="G187" s="84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90"/>
      <c r="S187" s="90"/>
      <c r="T187" s="90"/>
      <c r="U187" s="90"/>
      <c r="V187" s="91"/>
    </row>
    <row r="188" spans="1:22" ht="30" customHeight="1">
      <c r="A188" s="19">
        <v>186</v>
      </c>
      <c r="B188" s="55" t="s">
        <v>195</v>
      </c>
      <c r="C188" s="78" t="s">
        <v>196</v>
      </c>
      <c r="D188" s="79" t="s">
        <v>169</v>
      </c>
      <c r="E188" s="77" t="s">
        <v>90</v>
      </c>
      <c r="F188" s="80" t="s">
        <v>11</v>
      </c>
      <c r="G188" s="84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90"/>
      <c r="S188" s="90"/>
      <c r="T188" s="90"/>
      <c r="U188" s="90"/>
      <c r="V188" s="91"/>
    </row>
    <row r="189" spans="1:22" ht="30" customHeight="1">
      <c r="A189" s="19">
        <v>187</v>
      </c>
      <c r="B189" s="55" t="s">
        <v>197</v>
      </c>
      <c r="C189" s="78" t="s">
        <v>196</v>
      </c>
      <c r="D189" s="79" t="s">
        <v>169</v>
      </c>
      <c r="E189" s="77" t="s">
        <v>90</v>
      </c>
      <c r="F189" s="80" t="s">
        <v>11</v>
      </c>
      <c r="G189" s="84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90"/>
      <c r="S189" s="90"/>
      <c r="T189" s="90"/>
      <c r="U189" s="90"/>
      <c r="V189" s="91"/>
    </row>
    <row r="190" spans="1:22" ht="30" customHeight="1">
      <c r="A190" s="19">
        <v>188</v>
      </c>
      <c r="B190" s="55" t="s">
        <v>198</v>
      </c>
      <c r="C190" s="78" t="s">
        <v>196</v>
      </c>
      <c r="D190" s="79" t="s">
        <v>169</v>
      </c>
      <c r="E190" s="77" t="s">
        <v>90</v>
      </c>
      <c r="F190" s="80" t="s">
        <v>11</v>
      </c>
      <c r="G190" s="84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90"/>
      <c r="S190" s="90"/>
      <c r="T190" s="90"/>
      <c r="U190" s="90"/>
      <c r="V190" s="91"/>
    </row>
    <row r="191" spans="1:22" ht="30" customHeight="1">
      <c r="A191" s="19">
        <v>189</v>
      </c>
      <c r="B191" s="55" t="s">
        <v>199</v>
      </c>
      <c r="C191" s="78" t="s">
        <v>14</v>
      </c>
      <c r="D191" s="79" t="s">
        <v>169</v>
      </c>
      <c r="E191" s="77" t="s">
        <v>90</v>
      </c>
      <c r="F191" s="80" t="s">
        <v>11</v>
      </c>
      <c r="G191" s="84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90"/>
      <c r="S191" s="90"/>
      <c r="T191" s="90"/>
      <c r="U191" s="90"/>
      <c r="V191" s="91"/>
    </row>
    <row r="192" spans="1:22" ht="30" customHeight="1">
      <c r="A192" s="19">
        <v>190</v>
      </c>
      <c r="B192" s="55" t="s">
        <v>200</v>
      </c>
      <c r="C192" s="78" t="s">
        <v>14</v>
      </c>
      <c r="D192" s="79" t="s">
        <v>169</v>
      </c>
      <c r="E192" s="77" t="s">
        <v>90</v>
      </c>
      <c r="F192" s="80" t="s">
        <v>11</v>
      </c>
      <c r="G192" s="84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90"/>
      <c r="S192" s="90"/>
      <c r="T192" s="90"/>
      <c r="U192" s="90"/>
      <c r="V192" s="91"/>
    </row>
    <row r="193" spans="1:22" ht="30" customHeight="1">
      <c r="A193" s="19">
        <v>191</v>
      </c>
      <c r="B193" s="55" t="s">
        <v>201</v>
      </c>
      <c r="C193" s="78" t="s">
        <v>14</v>
      </c>
      <c r="D193" s="79" t="s">
        <v>169</v>
      </c>
      <c r="E193" s="77" t="s">
        <v>90</v>
      </c>
      <c r="F193" s="80" t="s">
        <v>11</v>
      </c>
      <c r="G193" s="84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90"/>
      <c r="S193" s="90"/>
      <c r="T193" s="90"/>
      <c r="U193" s="90"/>
      <c r="V193" s="91"/>
    </row>
    <row r="194" spans="1:22" ht="30" customHeight="1">
      <c r="A194" s="19">
        <v>192</v>
      </c>
      <c r="B194" s="55" t="s">
        <v>202</v>
      </c>
      <c r="C194" s="78" t="s">
        <v>17</v>
      </c>
      <c r="D194" s="79" t="s">
        <v>169</v>
      </c>
      <c r="E194" s="77" t="s">
        <v>90</v>
      </c>
      <c r="F194" s="80" t="s">
        <v>11</v>
      </c>
      <c r="G194" s="84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90"/>
      <c r="S194" s="90"/>
      <c r="T194" s="90"/>
      <c r="U194" s="90"/>
      <c r="V194" s="91"/>
    </row>
    <row r="195" spans="1:22" ht="30" customHeight="1">
      <c r="A195" s="19">
        <v>193</v>
      </c>
      <c r="B195" s="55" t="s">
        <v>203</v>
      </c>
      <c r="C195" s="78" t="s">
        <v>17</v>
      </c>
      <c r="D195" s="79" t="s">
        <v>169</v>
      </c>
      <c r="E195" s="77" t="s">
        <v>90</v>
      </c>
      <c r="F195" s="80" t="s">
        <v>11</v>
      </c>
      <c r="G195" s="84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90"/>
      <c r="S195" s="90"/>
      <c r="T195" s="90"/>
      <c r="U195" s="90"/>
      <c r="V195" s="91"/>
    </row>
    <row r="196" spans="1:22" ht="20.25">
      <c r="A196" s="19">
        <v>194</v>
      </c>
      <c r="B196" s="55" t="s">
        <v>204</v>
      </c>
      <c r="C196" s="78" t="s">
        <v>128</v>
      </c>
      <c r="D196" s="79" t="s">
        <v>169</v>
      </c>
      <c r="E196" s="77" t="s">
        <v>90</v>
      </c>
      <c r="F196" s="81" t="s">
        <v>12</v>
      </c>
      <c r="G196" s="84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90"/>
      <c r="S196" s="90"/>
      <c r="T196" s="90"/>
      <c r="U196" s="90"/>
      <c r="V196" s="91"/>
    </row>
    <row r="197" spans="1:22" ht="30" customHeight="1">
      <c r="A197" s="19">
        <v>195</v>
      </c>
      <c r="B197" s="55" t="s">
        <v>205</v>
      </c>
      <c r="C197" s="78" t="s">
        <v>128</v>
      </c>
      <c r="D197" s="79" t="s">
        <v>169</v>
      </c>
      <c r="E197" s="77" t="s">
        <v>90</v>
      </c>
      <c r="F197" s="80" t="s">
        <v>11</v>
      </c>
      <c r="G197" s="84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90"/>
      <c r="S197" s="90"/>
      <c r="T197" s="90"/>
      <c r="U197" s="90"/>
      <c r="V197" s="91"/>
    </row>
    <row r="198" spans="1:22" ht="30" customHeight="1">
      <c r="A198" s="19">
        <v>196</v>
      </c>
      <c r="B198" s="55" t="s">
        <v>206</v>
      </c>
      <c r="C198" s="78" t="s">
        <v>128</v>
      </c>
      <c r="D198" s="79" t="s">
        <v>169</v>
      </c>
      <c r="E198" s="77" t="s">
        <v>90</v>
      </c>
      <c r="F198" s="80" t="s">
        <v>11</v>
      </c>
      <c r="G198" s="84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90"/>
      <c r="S198" s="90"/>
      <c r="T198" s="90"/>
      <c r="U198" s="90"/>
      <c r="V198" s="91"/>
    </row>
    <row r="199" spans="1:22" ht="30" customHeight="1">
      <c r="A199" s="19">
        <v>197</v>
      </c>
      <c r="B199" s="55" t="s">
        <v>207</v>
      </c>
      <c r="C199" s="78" t="s">
        <v>128</v>
      </c>
      <c r="D199" s="79" t="s">
        <v>169</v>
      </c>
      <c r="E199" s="77" t="s">
        <v>90</v>
      </c>
      <c r="F199" s="80" t="s">
        <v>11</v>
      </c>
      <c r="G199" s="84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90"/>
      <c r="S199" s="90"/>
      <c r="T199" s="90"/>
      <c r="U199" s="90"/>
      <c r="V199" s="91"/>
    </row>
    <row r="200" spans="1:22" ht="30" customHeight="1">
      <c r="A200" s="19">
        <v>198</v>
      </c>
      <c r="B200" s="48" t="s">
        <v>208</v>
      </c>
      <c r="C200" s="5" t="s">
        <v>128</v>
      </c>
      <c r="D200" s="7" t="s">
        <v>169</v>
      </c>
      <c r="E200" s="60" t="s">
        <v>132</v>
      </c>
      <c r="F200" s="36" t="s">
        <v>11</v>
      </c>
      <c r="G200" s="84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90"/>
      <c r="S200" s="90"/>
      <c r="T200" s="90"/>
      <c r="U200" s="90"/>
      <c r="V200" s="91"/>
    </row>
    <row r="201" spans="1:22" ht="30" customHeight="1">
      <c r="A201" s="19">
        <v>199</v>
      </c>
      <c r="B201" s="48" t="s">
        <v>209</v>
      </c>
      <c r="C201" s="5" t="s">
        <v>128</v>
      </c>
      <c r="D201" s="7" t="s">
        <v>169</v>
      </c>
      <c r="E201" s="60" t="s">
        <v>157</v>
      </c>
      <c r="F201" s="36" t="s">
        <v>11</v>
      </c>
      <c r="G201" s="84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90"/>
      <c r="S201" s="90"/>
      <c r="T201" s="90"/>
      <c r="U201" s="90"/>
      <c r="V201" s="91"/>
    </row>
    <row r="202" spans="1:22" ht="30" customHeight="1">
      <c r="A202" s="19">
        <v>200</v>
      </c>
      <c r="B202" s="48" t="s">
        <v>210</v>
      </c>
      <c r="C202" s="5" t="s">
        <v>128</v>
      </c>
      <c r="D202" s="7" t="s">
        <v>169</v>
      </c>
      <c r="E202" s="60" t="s">
        <v>157</v>
      </c>
      <c r="F202" s="36" t="s">
        <v>11</v>
      </c>
      <c r="G202" s="84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90"/>
      <c r="S202" s="90"/>
      <c r="T202" s="90"/>
      <c r="U202" s="90"/>
      <c r="V202" s="91"/>
    </row>
    <row r="203" spans="1:22" ht="30" customHeight="1">
      <c r="A203" s="19">
        <v>201</v>
      </c>
      <c r="B203" s="20" t="s">
        <v>159</v>
      </c>
      <c r="C203" s="5" t="s">
        <v>17</v>
      </c>
      <c r="D203" s="7" t="s">
        <v>169</v>
      </c>
      <c r="E203" s="60" t="s">
        <v>94</v>
      </c>
      <c r="F203" s="36"/>
      <c r="G203" s="84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90"/>
      <c r="S203" s="90"/>
      <c r="T203" s="90"/>
      <c r="U203" s="90"/>
      <c r="V203" s="91"/>
    </row>
    <row r="204" spans="1:22" ht="30" customHeight="1">
      <c r="A204" s="19">
        <v>202</v>
      </c>
      <c r="B204" s="20" t="s">
        <v>160</v>
      </c>
      <c r="C204" s="5" t="s">
        <v>17</v>
      </c>
      <c r="D204" s="7" t="s">
        <v>169</v>
      </c>
      <c r="E204" s="60" t="s">
        <v>94</v>
      </c>
      <c r="F204" s="36"/>
      <c r="G204" s="84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90"/>
      <c r="S204" s="90"/>
      <c r="T204" s="90"/>
      <c r="U204" s="90"/>
      <c r="V204" s="91"/>
    </row>
    <row r="205" spans="1:22" ht="30" customHeight="1">
      <c r="A205" s="19">
        <v>203</v>
      </c>
      <c r="B205" s="20" t="s">
        <v>161</v>
      </c>
      <c r="C205" s="5" t="s">
        <v>17</v>
      </c>
      <c r="D205" s="7" t="s">
        <v>169</v>
      </c>
      <c r="E205" s="60" t="s">
        <v>94</v>
      </c>
      <c r="F205" s="36"/>
      <c r="G205" s="84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90"/>
      <c r="S205" s="90"/>
      <c r="T205" s="90"/>
      <c r="U205" s="90"/>
      <c r="V205" s="91"/>
    </row>
    <row r="206" spans="1:22" ht="30" customHeight="1">
      <c r="A206" s="19">
        <v>204</v>
      </c>
      <c r="B206" s="20" t="s">
        <v>162</v>
      </c>
      <c r="C206" s="5" t="s">
        <v>17</v>
      </c>
      <c r="D206" s="7" t="s">
        <v>169</v>
      </c>
      <c r="E206" s="60" t="s">
        <v>94</v>
      </c>
      <c r="F206" s="36"/>
      <c r="G206" s="84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90"/>
      <c r="S206" s="90"/>
      <c r="T206" s="90"/>
      <c r="U206" s="90"/>
      <c r="V206" s="91"/>
    </row>
    <row r="207" spans="1:22" ht="30" customHeight="1">
      <c r="A207" s="19">
        <v>205</v>
      </c>
      <c r="B207" s="20" t="s">
        <v>163</v>
      </c>
      <c r="C207" s="5" t="s">
        <v>17</v>
      </c>
      <c r="D207" s="7" t="s">
        <v>169</v>
      </c>
      <c r="E207" s="60" t="s">
        <v>94</v>
      </c>
      <c r="F207" s="36"/>
      <c r="G207" s="84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90"/>
      <c r="S207" s="90"/>
      <c r="T207" s="90"/>
      <c r="U207" s="90"/>
      <c r="V207" s="91"/>
    </row>
    <row r="208" spans="1:22" ht="30" customHeight="1">
      <c r="A208" s="19">
        <v>206</v>
      </c>
      <c r="B208" s="20" t="s">
        <v>164</v>
      </c>
      <c r="C208" s="5" t="s">
        <v>128</v>
      </c>
      <c r="D208" s="7" t="s">
        <v>169</v>
      </c>
      <c r="E208" s="60" t="s">
        <v>94</v>
      </c>
      <c r="F208" s="36"/>
      <c r="G208" s="84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90"/>
      <c r="S208" s="90"/>
      <c r="T208" s="90"/>
      <c r="U208" s="90"/>
      <c r="V208" s="91"/>
    </row>
    <row r="209" spans="1:22" ht="30" customHeight="1">
      <c r="A209" s="19">
        <v>207</v>
      </c>
      <c r="B209" s="63" t="s">
        <v>165</v>
      </c>
      <c r="C209" s="5" t="s">
        <v>128</v>
      </c>
      <c r="D209" s="7" t="s">
        <v>169</v>
      </c>
      <c r="E209" s="60" t="s">
        <v>94</v>
      </c>
      <c r="F209" s="36"/>
      <c r="G209" s="84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90"/>
      <c r="S209" s="90"/>
      <c r="T209" s="90"/>
      <c r="U209" s="90"/>
      <c r="V209" s="91"/>
    </row>
    <row r="210" spans="1:22" ht="30" customHeight="1">
      <c r="A210" s="19">
        <v>208</v>
      </c>
      <c r="B210" s="63" t="s">
        <v>166</v>
      </c>
      <c r="C210" s="5" t="s">
        <v>128</v>
      </c>
      <c r="D210" s="7" t="s">
        <v>169</v>
      </c>
      <c r="E210" s="60" t="s">
        <v>94</v>
      </c>
      <c r="F210" s="36"/>
      <c r="G210" s="84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90"/>
      <c r="S210" s="90"/>
      <c r="T210" s="90"/>
      <c r="U210" s="90"/>
      <c r="V210" s="91"/>
    </row>
    <row r="211" spans="1:22" ht="30" customHeight="1">
      <c r="A211" s="19">
        <v>209</v>
      </c>
      <c r="B211" s="47" t="s">
        <v>211</v>
      </c>
      <c r="C211" s="5" t="s">
        <v>8</v>
      </c>
      <c r="D211" s="7" t="s">
        <v>212</v>
      </c>
      <c r="E211" s="60" t="s">
        <v>19</v>
      </c>
      <c r="F211" s="36" t="s">
        <v>11</v>
      </c>
      <c r="G211" s="84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90"/>
      <c r="S211" s="90"/>
      <c r="T211" s="90"/>
      <c r="U211" s="90"/>
      <c r="V211" s="91"/>
    </row>
    <row r="212" spans="1:22" ht="30" customHeight="1">
      <c r="A212" s="19">
        <v>210</v>
      </c>
      <c r="B212" s="48" t="s">
        <v>213</v>
      </c>
      <c r="C212" s="5" t="s">
        <v>8</v>
      </c>
      <c r="D212" s="7" t="s">
        <v>212</v>
      </c>
      <c r="E212" s="60" t="s">
        <v>90</v>
      </c>
      <c r="F212" s="36" t="s">
        <v>11</v>
      </c>
      <c r="G212" s="84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90"/>
      <c r="S212" s="90"/>
      <c r="T212" s="90"/>
      <c r="U212" s="90"/>
      <c r="V212" s="91"/>
    </row>
    <row r="213" spans="1:22" ht="30" customHeight="1">
      <c r="A213" s="19">
        <v>211</v>
      </c>
      <c r="B213" s="48" t="s">
        <v>214</v>
      </c>
      <c r="C213" s="5" t="s">
        <v>8</v>
      </c>
      <c r="D213" s="7" t="s">
        <v>212</v>
      </c>
      <c r="E213" s="60" t="s">
        <v>19</v>
      </c>
      <c r="F213" s="36" t="s">
        <v>11</v>
      </c>
      <c r="G213" s="84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90"/>
      <c r="S213" s="90"/>
      <c r="T213" s="90"/>
      <c r="U213" s="90"/>
      <c r="V213" s="91"/>
    </row>
    <row r="214" spans="1:22" ht="30" customHeight="1">
      <c r="A214" s="19">
        <v>212</v>
      </c>
      <c r="B214" s="48" t="s">
        <v>214</v>
      </c>
      <c r="C214" s="5" t="s">
        <v>8</v>
      </c>
      <c r="D214" s="7" t="s">
        <v>212</v>
      </c>
      <c r="E214" s="60" t="s">
        <v>19</v>
      </c>
      <c r="F214" s="36" t="s">
        <v>11</v>
      </c>
      <c r="G214" s="84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90"/>
      <c r="S214" s="90"/>
      <c r="T214" s="90"/>
      <c r="U214" s="90"/>
      <c r="V214" s="91"/>
    </row>
    <row r="215" spans="1:22" ht="30" customHeight="1">
      <c r="A215" s="19">
        <v>213</v>
      </c>
      <c r="B215" s="48" t="s">
        <v>215</v>
      </c>
      <c r="C215" s="5" t="s">
        <v>14</v>
      </c>
      <c r="D215" s="7" t="s">
        <v>212</v>
      </c>
      <c r="E215" s="60" t="s">
        <v>90</v>
      </c>
      <c r="F215" s="36" t="s">
        <v>11</v>
      </c>
      <c r="G215" s="84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90"/>
      <c r="S215" s="90"/>
      <c r="T215" s="90"/>
      <c r="U215" s="90"/>
      <c r="V215" s="91"/>
    </row>
    <row r="216" spans="1:22" ht="30" customHeight="1">
      <c r="A216" s="19">
        <v>214</v>
      </c>
      <c r="B216" s="48" t="s">
        <v>216</v>
      </c>
      <c r="C216" s="5" t="s">
        <v>14</v>
      </c>
      <c r="D216" s="7" t="s">
        <v>212</v>
      </c>
      <c r="E216" s="60" t="s">
        <v>90</v>
      </c>
      <c r="F216" s="36" t="s">
        <v>11</v>
      </c>
      <c r="G216" s="84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90"/>
      <c r="S216" s="90"/>
      <c r="T216" s="90"/>
      <c r="U216" s="90"/>
      <c r="V216" s="91"/>
    </row>
    <row r="217" spans="1:22" ht="30" customHeight="1">
      <c r="A217" s="19">
        <v>215</v>
      </c>
      <c r="B217" s="48" t="s">
        <v>217</v>
      </c>
      <c r="C217" s="5" t="s">
        <v>14</v>
      </c>
      <c r="D217" s="7" t="s">
        <v>212</v>
      </c>
      <c r="E217" s="60" t="s">
        <v>90</v>
      </c>
      <c r="F217" s="36" t="s">
        <v>11</v>
      </c>
      <c r="G217" s="84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90"/>
      <c r="S217" s="90"/>
      <c r="T217" s="90"/>
      <c r="U217" s="90"/>
      <c r="V217" s="91"/>
    </row>
    <row r="218" spans="1:22" ht="30" customHeight="1">
      <c r="A218" s="19">
        <v>216</v>
      </c>
      <c r="B218" s="48" t="s">
        <v>218</v>
      </c>
      <c r="C218" s="5" t="s">
        <v>14</v>
      </c>
      <c r="D218" s="7" t="s">
        <v>212</v>
      </c>
      <c r="E218" s="60" t="s">
        <v>55</v>
      </c>
      <c r="F218" s="36" t="s">
        <v>11</v>
      </c>
      <c r="G218" s="84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90"/>
      <c r="S218" s="90"/>
      <c r="T218" s="90"/>
      <c r="U218" s="90"/>
      <c r="V218" s="91"/>
    </row>
    <row r="219" spans="1:22" ht="30" customHeight="1">
      <c r="A219" s="19">
        <v>217</v>
      </c>
      <c r="B219" s="48" t="s">
        <v>219</v>
      </c>
      <c r="C219" s="5" t="s">
        <v>14</v>
      </c>
      <c r="D219" s="7" t="s">
        <v>212</v>
      </c>
      <c r="E219" s="60" t="s">
        <v>90</v>
      </c>
      <c r="F219" s="36" t="s">
        <v>11</v>
      </c>
      <c r="G219" s="84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90"/>
      <c r="S219" s="90"/>
      <c r="T219" s="90"/>
      <c r="U219" s="90"/>
      <c r="V219" s="91"/>
    </row>
    <row r="220" spans="1:22" ht="30" customHeight="1">
      <c r="A220" s="19">
        <v>218</v>
      </c>
      <c r="B220" s="48" t="s">
        <v>220</v>
      </c>
      <c r="C220" s="5" t="s">
        <v>8</v>
      </c>
      <c r="D220" s="7" t="s">
        <v>212</v>
      </c>
      <c r="E220" s="60" t="s">
        <v>90</v>
      </c>
      <c r="F220" s="36" t="s">
        <v>11</v>
      </c>
      <c r="G220" s="84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90"/>
      <c r="S220" s="90"/>
      <c r="T220" s="90"/>
      <c r="U220" s="90"/>
      <c r="V220" s="91"/>
    </row>
    <row r="221" spans="1:22" ht="30" customHeight="1">
      <c r="A221" s="19">
        <v>219</v>
      </c>
      <c r="B221" s="48" t="s">
        <v>221</v>
      </c>
      <c r="C221" s="5" t="s">
        <v>8</v>
      </c>
      <c r="D221" s="7" t="s">
        <v>212</v>
      </c>
      <c r="E221" s="60" t="s">
        <v>90</v>
      </c>
      <c r="F221" s="36" t="s">
        <v>11</v>
      </c>
      <c r="G221" s="84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90"/>
      <c r="S221" s="90"/>
      <c r="T221" s="90"/>
      <c r="U221" s="90"/>
      <c r="V221" s="91"/>
    </row>
    <row r="222" spans="1:22" ht="30" customHeight="1">
      <c r="A222" s="19">
        <v>220</v>
      </c>
      <c r="B222" s="48" t="s">
        <v>222</v>
      </c>
      <c r="C222" s="5" t="s">
        <v>8</v>
      </c>
      <c r="D222" s="7" t="s">
        <v>212</v>
      </c>
      <c r="E222" s="60" t="s">
        <v>90</v>
      </c>
      <c r="F222" s="36" t="s">
        <v>11</v>
      </c>
      <c r="G222" s="84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90"/>
      <c r="S222" s="90"/>
      <c r="T222" s="90"/>
      <c r="U222" s="90"/>
      <c r="V222" s="91"/>
    </row>
    <row r="223" spans="1:22" ht="30" customHeight="1">
      <c r="A223" s="19">
        <v>221</v>
      </c>
      <c r="B223" s="48" t="s">
        <v>223</v>
      </c>
      <c r="C223" s="5" t="s">
        <v>8</v>
      </c>
      <c r="D223" s="7" t="s">
        <v>212</v>
      </c>
      <c r="E223" s="60" t="s">
        <v>90</v>
      </c>
      <c r="F223" s="36" t="s">
        <v>11</v>
      </c>
      <c r="G223" s="84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90"/>
      <c r="S223" s="90"/>
      <c r="T223" s="90"/>
      <c r="U223" s="90"/>
      <c r="V223" s="91"/>
    </row>
    <row r="224" spans="1:22" ht="30" customHeight="1">
      <c r="A224" s="19">
        <v>222</v>
      </c>
      <c r="B224" s="48" t="s">
        <v>224</v>
      </c>
      <c r="C224" s="5" t="s">
        <v>8</v>
      </c>
      <c r="D224" s="7" t="s">
        <v>212</v>
      </c>
      <c r="E224" s="60" t="s">
        <v>90</v>
      </c>
      <c r="F224" s="36" t="s">
        <v>11</v>
      </c>
      <c r="G224" s="84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90"/>
      <c r="S224" s="90"/>
      <c r="T224" s="90"/>
      <c r="U224" s="90"/>
      <c r="V224" s="91"/>
    </row>
    <row r="225" spans="1:22" ht="30" customHeight="1">
      <c r="A225" s="19">
        <v>223</v>
      </c>
      <c r="B225" s="48" t="s">
        <v>225</v>
      </c>
      <c r="C225" s="5" t="s">
        <v>8</v>
      </c>
      <c r="D225" s="7" t="s">
        <v>212</v>
      </c>
      <c r="E225" s="60" t="s">
        <v>90</v>
      </c>
      <c r="F225" s="36" t="s">
        <v>11</v>
      </c>
      <c r="G225" s="84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90"/>
      <c r="S225" s="90"/>
      <c r="T225" s="90"/>
      <c r="U225" s="90"/>
      <c r="V225" s="91"/>
    </row>
    <row r="226" spans="1:22" ht="30" customHeight="1">
      <c r="A226" s="19">
        <v>224</v>
      </c>
      <c r="B226" s="48" t="s">
        <v>226</v>
      </c>
      <c r="C226" s="5" t="s">
        <v>8</v>
      </c>
      <c r="D226" s="7" t="s">
        <v>212</v>
      </c>
      <c r="E226" s="60" t="s">
        <v>90</v>
      </c>
      <c r="F226" s="36" t="s">
        <v>11</v>
      </c>
      <c r="G226" s="84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90"/>
      <c r="S226" s="90"/>
      <c r="T226" s="90"/>
      <c r="U226" s="90"/>
      <c r="V226" s="91"/>
    </row>
    <row r="227" spans="1:22" ht="30" customHeight="1">
      <c r="A227" s="19">
        <v>225</v>
      </c>
      <c r="B227" s="48" t="s">
        <v>227</v>
      </c>
      <c r="C227" s="5" t="s">
        <v>17</v>
      </c>
      <c r="D227" s="7" t="s">
        <v>212</v>
      </c>
      <c r="E227" s="60" t="s">
        <v>90</v>
      </c>
      <c r="F227" s="36" t="s">
        <v>11</v>
      </c>
      <c r="G227" s="84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90"/>
      <c r="S227" s="90"/>
      <c r="T227" s="90"/>
      <c r="U227" s="90"/>
      <c r="V227" s="91"/>
    </row>
    <row r="228" spans="1:22" ht="30" customHeight="1">
      <c r="A228" s="19">
        <v>226</v>
      </c>
      <c r="B228" s="48" t="s">
        <v>228</v>
      </c>
      <c r="C228" s="5" t="s">
        <v>17</v>
      </c>
      <c r="D228" s="7" t="s">
        <v>212</v>
      </c>
      <c r="E228" s="60" t="s">
        <v>90</v>
      </c>
      <c r="F228" s="36" t="s">
        <v>11</v>
      </c>
      <c r="G228" s="84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90"/>
      <c r="S228" s="90"/>
      <c r="T228" s="90"/>
      <c r="U228" s="90"/>
      <c r="V228" s="91"/>
    </row>
    <row r="229" spans="1:22" ht="30" customHeight="1">
      <c r="A229" s="19">
        <v>227</v>
      </c>
      <c r="B229" s="47" t="s">
        <v>229</v>
      </c>
      <c r="C229" s="5" t="s">
        <v>17</v>
      </c>
      <c r="D229" s="7" t="s">
        <v>212</v>
      </c>
      <c r="E229" s="60" t="s">
        <v>90</v>
      </c>
      <c r="F229" s="36" t="s">
        <v>11</v>
      </c>
      <c r="G229" s="84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90"/>
      <c r="S229" s="90"/>
      <c r="T229" s="90"/>
      <c r="U229" s="90"/>
      <c r="V229" s="91"/>
    </row>
    <row r="230" spans="1:22" ht="30" customHeight="1">
      <c r="A230" s="19">
        <v>228</v>
      </c>
      <c r="B230" s="47" t="s">
        <v>230</v>
      </c>
      <c r="C230" s="5" t="s">
        <v>17</v>
      </c>
      <c r="D230" s="7" t="s">
        <v>212</v>
      </c>
      <c r="E230" s="60" t="s">
        <v>90</v>
      </c>
      <c r="F230" s="36" t="s">
        <v>11</v>
      </c>
      <c r="G230" s="84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90"/>
      <c r="S230" s="90"/>
      <c r="T230" s="90"/>
      <c r="U230" s="90"/>
      <c r="V230" s="91"/>
    </row>
    <row r="231" spans="1:22" ht="30" customHeight="1">
      <c r="A231" s="19">
        <v>229</v>
      </c>
      <c r="B231" s="48" t="s">
        <v>231</v>
      </c>
      <c r="C231" s="5" t="s">
        <v>17</v>
      </c>
      <c r="D231" s="7" t="s">
        <v>212</v>
      </c>
      <c r="E231" s="60" t="s">
        <v>90</v>
      </c>
      <c r="F231" s="36" t="s">
        <v>11</v>
      </c>
      <c r="G231" s="84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90"/>
      <c r="S231" s="90"/>
      <c r="T231" s="90"/>
      <c r="U231" s="90"/>
      <c r="V231" s="91"/>
    </row>
    <row r="232" spans="1:22" ht="30" customHeight="1">
      <c r="A232" s="19">
        <v>230</v>
      </c>
      <c r="B232" s="48" t="s">
        <v>232</v>
      </c>
      <c r="C232" s="5" t="s">
        <v>17</v>
      </c>
      <c r="D232" s="7" t="s">
        <v>212</v>
      </c>
      <c r="E232" s="60" t="s">
        <v>90</v>
      </c>
      <c r="F232" s="36" t="s">
        <v>11</v>
      </c>
      <c r="G232" s="84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90"/>
      <c r="S232" s="90"/>
      <c r="T232" s="90"/>
      <c r="U232" s="90"/>
      <c r="V232" s="91"/>
    </row>
    <row r="233" spans="1:22" ht="30" customHeight="1">
      <c r="A233" s="19">
        <v>231</v>
      </c>
      <c r="B233" s="47" t="s">
        <v>233</v>
      </c>
      <c r="C233" s="5" t="s">
        <v>17</v>
      </c>
      <c r="D233" s="7" t="s">
        <v>212</v>
      </c>
      <c r="E233" s="60" t="s">
        <v>90</v>
      </c>
      <c r="F233" s="36" t="s">
        <v>11</v>
      </c>
      <c r="G233" s="84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90"/>
      <c r="S233" s="90"/>
      <c r="T233" s="90"/>
      <c r="U233" s="90"/>
      <c r="V233" s="91"/>
    </row>
    <row r="234" spans="1:22" ht="30" customHeight="1">
      <c r="A234" s="19">
        <v>232</v>
      </c>
      <c r="B234" s="48" t="s">
        <v>220</v>
      </c>
      <c r="C234" s="5" t="s">
        <v>17</v>
      </c>
      <c r="D234" s="7" t="s">
        <v>212</v>
      </c>
      <c r="E234" s="60" t="s">
        <v>90</v>
      </c>
      <c r="F234" s="36" t="s">
        <v>11</v>
      </c>
      <c r="G234" s="84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90"/>
      <c r="S234" s="90"/>
      <c r="T234" s="90"/>
      <c r="U234" s="90"/>
      <c r="V234" s="91"/>
    </row>
    <row r="235" spans="1:22" ht="30" customHeight="1">
      <c r="A235" s="19">
        <v>233</v>
      </c>
      <c r="B235" s="48" t="s">
        <v>234</v>
      </c>
      <c r="C235" s="5" t="s">
        <v>17</v>
      </c>
      <c r="D235" s="7" t="s">
        <v>212</v>
      </c>
      <c r="E235" s="60" t="s">
        <v>90</v>
      </c>
      <c r="F235" s="36" t="s">
        <v>11</v>
      </c>
    </row>
    <row r="236" spans="1:22" ht="30" customHeight="1">
      <c r="A236" s="19">
        <v>234</v>
      </c>
      <c r="B236" s="48" t="s">
        <v>235</v>
      </c>
      <c r="C236" s="5" t="s">
        <v>17</v>
      </c>
      <c r="D236" s="7" t="s">
        <v>212</v>
      </c>
      <c r="E236" s="60" t="s">
        <v>90</v>
      </c>
      <c r="F236" s="36" t="s">
        <v>11</v>
      </c>
    </row>
    <row r="237" spans="1:22" ht="30" customHeight="1">
      <c r="A237" s="19">
        <v>235</v>
      </c>
      <c r="B237" s="48" t="s">
        <v>236</v>
      </c>
      <c r="C237" s="5" t="s">
        <v>17</v>
      </c>
      <c r="D237" s="7" t="s">
        <v>212</v>
      </c>
      <c r="E237" s="60" t="s">
        <v>90</v>
      </c>
      <c r="F237" s="36" t="s">
        <v>11</v>
      </c>
    </row>
    <row r="238" spans="1:22" ht="30" customHeight="1">
      <c r="A238" s="19">
        <v>236</v>
      </c>
      <c r="B238" s="48" t="s">
        <v>237</v>
      </c>
      <c r="C238" s="5" t="s">
        <v>128</v>
      </c>
      <c r="D238" s="7" t="s">
        <v>212</v>
      </c>
      <c r="E238" s="60" t="s">
        <v>90</v>
      </c>
      <c r="F238" s="36" t="s">
        <v>11</v>
      </c>
    </row>
    <row r="239" spans="1:22" ht="30" customHeight="1">
      <c r="A239" s="19">
        <v>237</v>
      </c>
      <c r="B239" s="50" t="s">
        <v>238</v>
      </c>
      <c r="C239" s="5" t="s">
        <v>128</v>
      </c>
      <c r="D239" s="7" t="s">
        <v>212</v>
      </c>
      <c r="E239" s="60" t="s">
        <v>90</v>
      </c>
      <c r="F239" s="36" t="s">
        <v>11</v>
      </c>
    </row>
    <row r="240" spans="1:22" ht="30" customHeight="1">
      <c r="A240" s="19">
        <v>238</v>
      </c>
      <c r="B240" s="50" t="s">
        <v>239</v>
      </c>
      <c r="C240" s="5" t="s">
        <v>128</v>
      </c>
      <c r="D240" s="7" t="s">
        <v>212</v>
      </c>
      <c r="E240" s="60" t="s">
        <v>90</v>
      </c>
      <c r="F240" s="36" t="s">
        <v>11</v>
      </c>
    </row>
    <row r="241" spans="1:6" ht="30" customHeight="1">
      <c r="A241" s="19">
        <v>239</v>
      </c>
      <c r="B241" s="48" t="s">
        <v>240</v>
      </c>
      <c r="C241" s="5" t="s">
        <v>128</v>
      </c>
      <c r="D241" s="7" t="s">
        <v>212</v>
      </c>
      <c r="E241" s="60" t="s">
        <v>90</v>
      </c>
      <c r="F241" s="36" t="s">
        <v>11</v>
      </c>
    </row>
    <row r="242" spans="1:6" ht="30" customHeight="1">
      <c r="A242" s="19">
        <v>240</v>
      </c>
      <c r="B242" s="48" t="s">
        <v>241</v>
      </c>
      <c r="C242" s="5" t="s">
        <v>128</v>
      </c>
      <c r="D242" s="7" t="s">
        <v>212</v>
      </c>
      <c r="E242" s="60" t="s">
        <v>90</v>
      </c>
      <c r="F242" s="36" t="s">
        <v>11</v>
      </c>
    </row>
    <row r="243" spans="1:6" ht="30" customHeight="1">
      <c r="A243" s="19">
        <v>241</v>
      </c>
      <c r="B243" s="48" t="s">
        <v>242</v>
      </c>
      <c r="C243" s="5" t="s">
        <v>128</v>
      </c>
      <c r="D243" s="7" t="s">
        <v>212</v>
      </c>
      <c r="E243" s="60" t="s">
        <v>90</v>
      </c>
      <c r="F243" s="36" t="s">
        <v>11</v>
      </c>
    </row>
    <row r="244" spans="1:6" ht="30" customHeight="1">
      <c r="A244" s="19">
        <v>242</v>
      </c>
      <c r="B244" s="50" t="s">
        <v>243</v>
      </c>
      <c r="C244" s="5" t="s">
        <v>128</v>
      </c>
      <c r="D244" s="7" t="s">
        <v>212</v>
      </c>
      <c r="E244" s="60" t="s">
        <v>90</v>
      </c>
      <c r="F244" s="36" t="s">
        <v>11</v>
      </c>
    </row>
    <row r="245" spans="1:6" ht="30" customHeight="1">
      <c r="A245" s="19">
        <v>243</v>
      </c>
      <c r="B245" s="48" t="s">
        <v>244</v>
      </c>
      <c r="C245" s="5" t="s">
        <v>128</v>
      </c>
      <c r="D245" s="7" t="s">
        <v>212</v>
      </c>
      <c r="E245" s="60" t="s">
        <v>90</v>
      </c>
      <c r="F245" s="36" t="s">
        <v>11</v>
      </c>
    </row>
    <row r="246" spans="1:6" ht="30" customHeight="1">
      <c r="A246" s="19">
        <v>244</v>
      </c>
      <c r="B246" s="48" t="s">
        <v>245</v>
      </c>
      <c r="C246" s="5" t="s">
        <v>128</v>
      </c>
      <c r="D246" s="7" t="s">
        <v>212</v>
      </c>
      <c r="E246" s="60" t="s">
        <v>90</v>
      </c>
      <c r="F246" s="36" t="s">
        <v>11</v>
      </c>
    </row>
    <row r="247" spans="1:6" ht="30" customHeight="1">
      <c r="A247" s="19">
        <v>245</v>
      </c>
      <c r="B247" s="48" t="s">
        <v>246</v>
      </c>
      <c r="C247" s="5" t="s">
        <v>128</v>
      </c>
      <c r="D247" s="7" t="s">
        <v>212</v>
      </c>
      <c r="E247" s="60" t="s">
        <v>90</v>
      </c>
      <c r="F247" s="36" t="s">
        <v>11</v>
      </c>
    </row>
    <row r="248" spans="1:6" ht="30" customHeight="1">
      <c r="A248" s="19">
        <v>246</v>
      </c>
      <c r="B248" s="48" t="s">
        <v>247</v>
      </c>
      <c r="C248" s="5" t="s">
        <v>128</v>
      </c>
      <c r="D248" s="7" t="s">
        <v>212</v>
      </c>
      <c r="E248" s="60" t="s">
        <v>90</v>
      </c>
      <c r="F248" s="36" t="s">
        <v>11</v>
      </c>
    </row>
    <row r="249" spans="1:6" ht="30" customHeight="1">
      <c r="A249" s="19">
        <v>247</v>
      </c>
      <c r="B249" s="48" t="s">
        <v>248</v>
      </c>
      <c r="C249" s="5" t="s">
        <v>128</v>
      </c>
      <c r="D249" s="7" t="s">
        <v>212</v>
      </c>
      <c r="E249" s="60" t="s">
        <v>90</v>
      </c>
      <c r="F249" s="36" t="s">
        <v>11</v>
      </c>
    </row>
    <row r="250" spans="1:6" ht="30" customHeight="1">
      <c r="A250" s="19">
        <v>248</v>
      </c>
      <c r="B250" s="48" t="s">
        <v>249</v>
      </c>
      <c r="C250" s="5" t="s">
        <v>128</v>
      </c>
      <c r="D250" s="7" t="s">
        <v>212</v>
      </c>
      <c r="E250" s="60" t="s">
        <v>90</v>
      </c>
      <c r="F250" s="36" t="s">
        <v>11</v>
      </c>
    </row>
    <row r="251" spans="1:6" ht="30" customHeight="1">
      <c r="A251" s="19">
        <v>249</v>
      </c>
      <c r="B251" s="48" t="s">
        <v>250</v>
      </c>
      <c r="C251" s="5" t="s">
        <v>128</v>
      </c>
      <c r="D251" s="7" t="s">
        <v>212</v>
      </c>
      <c r="E251" s="60" t="s">
        <v>90</v>
      </c>
      <c r="F251" s="36" t="s">
        <v>11</v>
      </c>
    </row>
    <row r="252" spans="1:6" ht="30" customHeight="1">
      <c r="A252" s="19">
        <v>250</v>
      </c>
      <c r="B252" s="48" t="s">
        <v>251</v>
      </c>
      <c r="C252" s="5" t="s">
        <v>128</v>
      </c>
      <c r="D252" s="7" t="s">
        <v>212</v>
      </c>
      <c r="E252" s="60" t="s">
        <v>90</v>
      </c>
      <c r="F252" s="36" t="s">
        <v>11</v>
      </c>
    </row>
    <row r="253" spans="1:6" ht="30" customHeight="1">
      <c r="A253" s="19">
        <v>251</v>
      </c>
      <c r="B253" s="48" t="s">
        <v>252</v>
      </c>
      <c r="C253" s="5" t="s">
        <v>128</v>
      </c>
      <c r="D253" s="7" t="s">
        <v>212</v>
      </c>
      <c r="E253" s="60" t="s">
        <v>90</v>
      </c>
      <c r="F253" s="36" t="s">
        <v>11</v>
      </c>
    </row>
    <row r="254" spans="1:6" ht="30" customHeight="1">
      <c r="A254" s="19">
        <v>252</v>
      </c>
      <c r="B254" s="48" t="s">
        <v>253</v>
      </c>
      <c r="C254" s="5" t="s">
        <v>128</v>
      </c>
      <c r="D254" s="7" t="s">
        <v>212</v>
      </c>
      <c r="E254" s="60" t="s">
        <v>90</v>
      </c>
      <c r="F254" s="36" t="s">
        <v>11</v>
      </c>
    </row>
    <row r="255" spans="1:6" ht="30" customHeight="1">
      <c r="A255" s="19">
        <v>253</v>
      </c>
      <c r="B255" s="48" t="s">
        <v>254</v>
      </c>
      <c r="C255" s="5" t="s">
        <v>128</v>
      </c>
      <c r="D255" s="7" t="s">
        <v>212</v>
      </c>
      <c r="E255" s="60" t="s">
        <v>90</v>
      </c>
      <c r="F255" s="36" t="s">
        <v>11</v>
      </c>
    </row>
    <row r="256" spans="1:6" ht="30" customHeight="1">
      <c r="A256" s="19">
        <v>254</v>
      </c>
      <c r="B256" s="48" t="s">
        <v>255</v>
      </c>
      <c r="C256" s="5" t="s">
        <v>128</v>
      </c>
      <c r="D256" s="7" t="s">
        <v>212</v>
      </c>
      <c r="E256" s="60" t="s">
        <v>90</v>
      </c>
      <c r="F256" s="36" t="s">
        <v>11</v>
      </c>
    </row>
    <row r="257" spans="1:6" ht="30" customHeight="1">
      <c r="A257" s="19">
        <v>255</v>
      </c>
      <c r="B257" s="48" t="s">
        <v>256</v>
      </c>
      <c r="C257" s="5" t="s">
        <v>128</v>
      </c>
      <c r="D257" s="7" t="s">
        <v>212</v>
      </c>
      <c r="E257" s="60" t="s">
        <v>90</v>
      </c>
      <c r="F257" s="36" t="s">
        <v>11</v>
      </c>
    </row>
    <row r="258" spans="1:6" ht="30" customHeight="1">
      <c r="A258" s="19">
        <v>256</v>
      </c>
      <c r="B258" s="20" t="s">
        <v>159</v>
      </c>
      <c r="C258" s="5" t="s">
        <v>17</v>
      </c>
      <c r="D258" s="7" t="s">
        <v>212</v>
      </c>
      <c r="E258" s="60" t="s">
        <v>94</v>
      </c>
      <c r="F258" s="36" t="s">
        <v>11</v>
      </c>
    </row>
    <row r="259" spans="1:6" ht="30" customHeight="1">
      <c r="A259" s="19">
        <v>257</v>
      </c>
      <c r="B259" s="20" t="s">
        <v>160</v>
      </c>
      <c r="C259" s="5" t="s">
        <v>17</v>
      </c>
      <c r="D259" s="7" t="s">
        <v>212</v>
      </c>
      <c r="E259" s="60" t="s">
        <v>94</v>
      </c>
      <c r="F259" s="36" t="s">
        <v>11</v>
      </c>
    </row>
    <row r="260" spans="1:6" ht="30" customHeight="1">
      <c r="A260" s="19">
        <v>258</v>
      </c>
      <c r="B260" s="20" t="s">
        <v>161</v>
      </c>
      <c r="C260" s="5" t="s">
        <v>17</v>
      </c>
      <c r="D260" s="7" t="s">
        <v>212</v>
      </c>
      <c r="E260" s="60" t="s">
        <v>94</v>
      </c>
      <c r="F260" s="36" t="s">
        <v>11</v>
      </c>
    </row>
    <row r="261" spans="1:6" ht="30" customHeight="1">
      <c r="A261" s="19">
        <v>259</v>
      </c>
      <c r="B261" s="20" t="s">
        <v>162</v>
      </c>
      <c r="C261" s="5" t="s">
        <v>17</v>
      </c>
      <c r="D261" s="7" t="s">
        <v>212</v>
      </c>
      <c r="E261" s="60" t="s">
        <v>94</v>
      </c>
      <c r="F261" s="36" t="s">
        <v>11</v>
      </c>
    </row>
    <row r="262" spans="1:6" ht="30" customHeight="1">
      <c r="A262" s="19">
        <v>260</v>
      </c>
      <c r="B262" s="20" t="s">
        <v>163</v>
      </c>
      <c r="C262" s="5" t="s">
        <v>17</v>
      </c>
      <c r="D262" s="7" t="s">
        <v>212</v>
      </c>
      <c r="E262" s="60" t="s">
        <v>94</v>
      </c>
      <c r="F262" s="36" t="s">
        <v>11</v>
      </c>
    </row>
    <row r="263" spans="1:6" ht="30" customHeight="1">
      <c r="A263" s="19">
        <v>261</v>
      </c>
      <c r="B263" s="20" t="s">
        <v>164</v>
      </c>
      <c r="C263" s="5" t="s">
        <v>17</v>
      </c>
      <c r="D263" s="7" t="s">
        <v>212</v>
      </c>
      <c r="E263" s="60" t="s">
        <v>94</v>
      </c>
      <c r="F263" s="36" t="s">
        <v>11</v>
      </c>
    </row>
    <row r="264" spans="1:6" ht="30" customHeight="1">
      <c r="A264" s="19">
        <v>262</v>
      </c>
      <c r="B264" s="47" t="s">
        <v>257</v>
      </c>
      <c r="C264" s="5" t="s">
        <v>8</v>
      </c>
      <c r="D264" s="7" t="s">
        <v>212</v>
      </c>
      <c r="E264" s="60" t="s">
        <v>157</v>
      </c>
      <c r="F264" s="36" t="s">
        <v>11</v>
      </c>
    </row>
    <row r="265" spans="1:6" ht="30" customHeight="1">
      <c r="A265" s="19">
        <v>263</v>
      </c>
      <c r="B265" s="48" t="s">
        <v>258</v>
      </c>
      <c r="C265" s="5" t="s">
        <v>17</v>
      </c>
      <c r="D265" s="7" t="s">
        <v>212</v>
      </c>
      <c r="E265" s="60" t="s">
        <v>157</v>
      </c>
      <c r="F265" s="36" t="s">
        <v>11</v>
      </c>
    </row>
    <row r="266" spans="1:6" ht="30" customHeight="1">
      <c r="A266" s="19">
        <v>264</v>
      </c>
      <c r="B266" s="48" t="s">
        <v>258</v>
      </c>
      <c r="C266" s="5" t="s">
        <v>128</v>
      </c>
      <c r="D266" s="7" t="s">
        <v>212</v>
      </c>
      <c r="E266" s="60" t="s">
        <v>157</v>
      </c>
      <c r="F266" s="36" t="s">
        <v>11</v>
      </c>
    </row>
    <row r="267" spans="1:6" ht="30" customHeight="1">
      <c r="A267" s="19">
        <v>265</v>
      </c>
      <c r="B267" s="48" t="s">
        <v>259</v>
      </c>
      <c r="C267" s="5" t="s">
        <v>128</v>
      </c>
      <c r="D267" s="7" t="s">
        <v>212</v>
      </c>
      <c r="E267" s="60" t="s">
        <v>94</v>
      </c>
      <c r="F267" s="36" t="s">
        <v>11</v>
      </c>
    </row>
    <row r="268" spans="1:6" ht="30" customHeight="1">
      <c r="A268" s="19">
        <v>266</v>
      </c>
      <c r="B268" s="56" t="s">
        <v>260</v>
      </c>
      <c r="C268" s="5" t="s">
        <v>8</v>
      </c>
      <c r="D268" s="7" t="s">
        <v>261</v>
      </c>
      <c r="E268" s="60" t="s">
        <v>81</v>
      </c>
      <c r="F268" s="36" t="s">
        <v>11</v>
      </c>
    </row>
    <row r="269" spans="1:6" ht="30" customHeight="1">
      <c r="A269" s="19">
        <v>267</v>
      </c>
      <c r="B269" s="57" t="s">
        <v>262</v>
      </c>
      <c r="C269" s="5" t="s">
        <v>8</v>
      </c>
      <c r="D269" s="7" t="s">
        <v>261</v>
      </c>
      <c r="E269" s="60" t="s">
        <v>263</v>
      </c>
      <c r="F269" s="36" t="s">
        <v>11</v>
      </c>
    </row>
    <row r="270" spans="1:6" ht="30" customHeight="1">
      <c r="A270" s="19">
        <v>268</v>
      </c>
      <c r="B270" s="57" t="s">
        <v>264</v>
      </c>
      <c r="C270" s="5" t="s">
        <v>8</v>
      </c>
      <c r="D270" s="7" t="s">
        <v>261</v>
      </c>
      <c r="E270" s="60" t="s">
        <v>265</v>
      </c>
      <c r="F270" s="36" t="s">
        <v>11</v>
      </c>
    </row>
    <row r="271" spans="1:6" ht="30" customHeight="1">
      <c r="A271" s="19">
        <v>269</v>
      </c>
      <c r="B271" s="57" t="s">
        <v>266</v>
      </c>
      <c r="C271" s="5" t="s">
        <v>8</v>
      </c>
      <c r="D271" s="7" t="s">
        <v>261</v>
      </c>
      <c r="E271" s="60" t="s">
        <v>267</v>
      </c>
      <c r="F271" s="36" t="s">
        <v>11</v>
      </c>
    </row>
    <row r="272" spans="1:6" ht="30" customHeight="1">
      <c r="A272" s="19">
        <v>270</v>
      </c>
      <c r="B272" s="57" t="s">
        <v>268</v>
      </c>
      <c r="C272" s="5" t="s">
        <v>8</v>
      </c>
      <c r="D272" s="7" t="s">
        <v>261</v>
      </c>
      <c r="E272" s="60" t="s">
        <v>269</v>
      </c>
      <c r="F272" s="36" t="s">
        <v>11</v>
      </c>
    </row>
    <row r="273" spans="1:6" ht="30" customHeight="1">
      <c r="A273" s="19">
        <v>271</v>
      </c>
      <c r="B273" s="57" t="s">
        <v>270</v>
      </c>
      <c r="C273" s="5" t="s">
        <v>8</v>
      </c>
      <c r="D273" s="7" t="s">
        <v>261</v>
      </c>
      <c r="E273" s="60" t="s">
        <v>81</v>
      </c>
      <c r="F273" s="36" t="s">
        <v>11</v>
      </c>
    </row>
    <row r="274" spans="1:6" ht="30" customHeight="1">
      <c r="A274" s="19">
        <v>272</v>
      </c>
      <c r="B274" s="57" t="s">
        <v>271</v>
      </c>
      <c r="C274" s="5" t="s">
        <v>8</v>
      </c>
      <c r="D274" s="7" t="s">
        <v>261</v>
      </c>
      <c r="E274" s="60" t="s">
        <v>272</v>
      </c>
      <c r="F274" s="36" t="s">
        <v>11</v>
      </c>
    </row>
    <row r="275" spans="1:6" ht="30" customHeight="1">
      <c r="A275" s="19">
        <v>273</v>
      </c>
      <c r="B275" s="57" t="s">
        <v>273</v>
      </c>
      <c r="C275" s="5" t="s">
        <v>8</v>
      </c>
      <c r="D275" s="7" t="s">
        <v>261</v>
      </c>
      <c r="E275" s="60" t="s">
        <v>47</v>
      </c>
      <c r="F275" s="36" t="s">
        <v>11</v>
      </c>
    </row>
    <row r="276" spans="1:6" ht="30" customHeight="1">
      <c r="A276" s="19">
        <v>274</v>
      </c>
      <c r="B276" s="57" t="s">
        <v>274</v>
      </c>
      <c r="C276" s="5" t="s">
        <v>8</v>
      </c>
      <c r="D276" s="7" t="s">
        <v>261</v>
      </c>
      <c r="E276" s="60" t="s">
        <v>47</v>
      </c>
      <c r="F276" s="36" t="s">
        <v>11</v>
      </c>
    </row>
    <row r="277" spans="1:6" ht="30" customHeight="1">
      <c r="A277" s="19">
        <v>275</v>
      </c>
      <c r="B277" s="57" t="s">
        <v>275</v>
      </c>
      <c r="C277" s="5" t="s">
        <v>8</v>
      </c>
      <c r="D277" s="7" t="s">
        <v>261</v>
      </c>
      <c r="E277" s="60" t="s">
        <v>263</v>
      </c>
      <c r="F277" s="36" t="s">
        <v>11</v>
      </c>
    </row>
    <row r="278" spans="1:6" ht="30" customHeight="1">
      <c r="A278" s="19">
        <v>276</v>
      </c>
      <c r="B278" s="57" t="s">
        <v>276</v>
      </c>
      <c r="C278" s="5" t="s">
        <v>8</v>
      </c>
      <c r="D278" s="7" t="s">
        <v>261</v>
      </c>
      <c r="E278" s="60" t="s">
        <v>81</v>
      </c>
      <c r="F278" s="36" t="s">
        <v>11</v>
      </c>
    </row>
    <row r="279" spans="1:6" ht="30" customHeight="1">
      <c r="A279" s="19">
        <v>277</v>
      </c>
      <c r="B279" s="57" t="s">
        <v>277</v>
      </c>
      <c r="C279" s="5" t="s">
        <v>8</v>
      </c>
      <c r="D279" s="7" t="s">
        <v>261</v>
      </c>
      <c r="E279" s="60" t="s">
        <v>81</v>
      </c>
      <c r="F279" s="36" t="s">
        <v>11</v>
      </c>
    </row>
    <row r="280" spans="1:6" ht="30" customHeight="1">
      <c r="A280" s="19">
        <v>278</v>
      </c>
      <c r="B280" s="57" t="s">
        <v>278</v>
      </c>
      <c r="C280" s="5" t="s">
        <v>8</v>
      </c>
      <c r="D280" s="7" t="s">
        <v>261</v>
      </c>
      <c r="E280" s="60" t="s">
        <v>265</v>
      </c>
      <c r="F280" s="36" t="s">
        <v>11</v>
      </c>
    </row>
    <row r="281" spans="1:6" ht="30" customHeight="1">
      <c r="A281" s="19">
        <v>279</v>
      </c>
      <c r="B281" s="57" t="s">
        <v>279</v>
      </c>
      <c r="C281" s="5" t="s">
        <v>8</v>
      </c>
      <c r="D281" s="7" t="s">
        <v>261</v>
      </c>
      <c r="E281" s="60" t="s">
        <v>280</v>
      </c>
      <c r="F281" s="36" t="s">
        <v>11</v>
      </c>
    </row>
    <row r="282" spans="1:6" ht="30" customHeight="1">
      <c r="A282" s="19">
        <v>280</v>
      </c>
      <c r="B282" s="57" t="s">
        <v>281</v>
      </c>
      <c r="C282" s="5" t="s">
        <v>8</v>
      </c>
      <c r="D282" s="7" t="s">
        <v>261</v>
      </c>
      <c r="E282" s="60" t="s">
        <v>180</v>
      </c>
      <c r="F282" s="36" t="s">
        <v>11</v>
      </c>
    </row>
    <row r="283" spans="1:6" ht="30" customHeight="1">
      <c r="A283" s="19">
        <v>281</v>
      </c>
      <c r="B283" s="57" t="s">
        <v>282</v>
      </c>
      <c r="C283" s="5" t="s">
        <v>8</v>
      </c>
      <c r="D283" s="7" t="s">
        <v>261</v>
      </c>
      <c r="E283" s="60" t="s">
        <v>180</v>
      </c>
      <c r="F283" s="36" t="s">
        <v>11</v>
      </c>
    </row>
    <row r="284" spans="1:6" ht="30" customHeight="1">
      <c r="A284" s="19">
        <v>282</v>
      </c>
      <c r="B284" s="57" t="s">
        <v>283</v>
      </c>
      <c r="C284" s="5" t="s">
        <v>8</v>
      </c>
      <c r="D284" s="7" t="s">
        <v>261</v>
      </c>
      <c r="E284" s="60" t="s">
        <v>180</v>
      </c>
      <c r="F284" s="36" t="s">
        <v>11</v>
      </c>
    </row>
    <row r="285" spans="1:6" ht="30" customHeight="1">
      <c r="A285" s="19">
        <v>283</v>
      </c>
      <c r="B285" s="57" t="s">
        <v>284</v>
      </c>
      <c r="C285" s="5" t="s">
        <v>8</v>
      </c>
      <c r="D285" s="7" t="s">
        <v>261</v>
      </c>
      <c r="E285" s="60" t="s">
        <v>47</v>
      </c>
      <c r="F285" s="36" t="s">
        <v>11</v>
      </c>
    </row>
    <row r="286" spans="1:6" ht="30" customHeight="1">
      <c r="A286" s="19">
        <v>284</v>
      </c>
      <c r="B286" s="57" t="s">
        <v>285</v>
      </c>
      <c r="C286" s="5" t="s">
        <v>8</v>
      </c>
      <c r="D286" s="7" t="s">
        <v>261</v>
      </c>
      <c r="E286" s="60" t="s">
        <v>94</v>
      </c>
      <c r="F286" s="36" t="s">
        <v>11</v>
      </c>
    </row>
    <row r="287" spans="1:6" ht="30" customHeight="1">
      <c r="A287" s="19">
        <v>285</v>
      </c>
      <c r="B287" s="57" t="s">
        <v>286</v>
      </c>
      <c r="C287" s="5" t="s">
        <v>8</v>
      </c>
      <c r="D287" s="7" t="s">
        <v>261</v>
      </c>
      <c r="E287" s="60" t="s">
        <v>94</v>
      </c>
      <c r="F287" s="36" t="s">
        <v>11</v>
      </c>
    </row>
    <row r="288" spans="1:6" ht="30" customHeight="1">
      <c r="A288" s="19">
        <v>286</v>
      </c>
      <c r="B288" s="57" t="s">
        <v>287</v>
      </c>
      <c r="C288" s="5" t="s">
        <v>8</v>
      </c>
      <c r="D288" s="7" t="s">
        <v>261</v>
      </c>
      <c r="E288" s="60" t="s">
        <v>94</v>
      </c>
      <c r="F288" s="36" t="s">
        <v>11</v>
      </c>
    </row>
    <row r="289" spans="1:6" ht="30" customHeight="1">
      <c r="A289" s="19">
        <v>287</v>
      </c>
      <c r="B289" s="57" t="s">
        <v>288</v>
      </c>
      <c r="C289" s="5" t="s">
        <v>8</v>
      </c>
      <c r="D289" s="7" t="s">
        <v>261</v>
      </c>
      <c r="E289" s="60" t="s">
        <v>94</v>
      </c>
      <c r="F289" s="36" t="s">
        <v>11</v>
      </c>
    </row>
    <row r="290" spans="1:6" ht="30" customHeight="1">
      <c r="A290" s="19">
        <v>288</v>
      </c>
      <c r="B290" s="57" t="s">
        <v>289</v>
      </c>
      <c r="C290" s="5" t="s">
        <v>8</v>
      </c>
      <c r="D290" s="7" t="s">
        <v>261</v>
      </c>
      <c r="E290" s="60" t="s">
        <v>94</v>
      </c>
      <c r="F290" s="36" t="s">
        <v>11</v>
      </c>
    </row>
    <row r="291" spans="1:6" ht="30" customHeight="1">
      <c r="A291" s="19">
        <v>289</v>
      </c>
      <c r="B291" s="57" t="s">
        <v>290</v>
      </c>
      <c r="C291" s="5" t="s">
        <v>8</v>
      </c>
      <c r="D291" s="7" t="s">
        <v>261</v>
      </c>
      <c r="E291" s="60" t="s">
        <v>94</v>
      </c>
      <c r="F291" s="36" t="s">
        <v>11</v>
      </c>
    </row>
    <row r="292" spans="1:6" ht="30" customHeight="1">
      <c r="A292" s="19">
        <v>290</v>
      </c>
      <c r="B292" s="57" t="s">
        <v>291</v>
      </c>
      <c r="C292" s="5" t="s">
        <v>8</v>
      </c>
      <c r="D292" s="7" t="s">
        <v>261</v>
      </c>
      <c r="E292" s="60" t="s">
        <v>94</v>
      </c>
      <c r="F292" s="36" t="s">
        <v>11</v>
      </c>
    </row>
    <row r="293" spans="1:6" ht="30" customHeight="1">
      <c r="A293" s="19">
        <v>291</v>
      </c>
      <c r="B293" s="57" t="s">
        <v>292</v>
      </c>
      <c r="C293" s="5" t="s">
        <v>14</v>
      </c>
      <c r="D293" s="7" t="s">
        <v>261</v>
      </c>
      <c r="E293" s="60" t="s">
        <v>81</v>
      </c>
      <c r="F293" s="36" t="s">
        <v>11</v>
      </c>
    </row>
    <row r="294" spans="1:6" ht="30" customHeight="1">
      <c r="A294" s="19">
        <v>292</v>
      </c>
      <c r="B294" s="57" t="s">
        <v>293</v>
      </c>
      <c r="C294" s="5" t="s">
        <v>14</v>
      </c>
      <c r="D294" s="7" t="s">
        <v>261</v>
      </c>
      <c r="E294" s="60" t="s">
        <v>180</v>
      </c>
      <c r="F294" s="36" t="s">
        <v>11</v>
      </c>
    </row>
    <row r="295" spans="1:6" ht="30" customHeight="1">
      <c r="A295" s="19">
        <v>293</v>
      </c>
      <c r="B295" s="57" t="s">
        <v>294</v>
      </c>
      <c r="C295" s="5" t="s">
        <v>14</v>
      </c>
      <c r="D295" s="7" t="s">
        <v>261</v>
      </c>
      <c r="E295" s="60" t="s">
        <v>180</v>
      </c>
      <c r="F295" s="36" t="s">
        <v>11</v>
      </c>
    </row>
    <row r="296" spans="1:6" ht="30" customHeight="1">
      <c r="A296" s="19">
        <v>294</v>
      </c>
      <c r="B296" s="57" t="s">
        <v>295</v>
      </c>
      <c r="C296" s="5" t="s">
        <v>14</v>
      </c>
      <c r="D296" s="7" t="s">
        <v>261</v>
      </c>
      <c r="E296" s="60" t="s">
        <v>55</v>
      </c>
      <c r="F296" s="36" t="s">
        <v>11</v>
      </c>
    </row>
    <row r="297" spans="1:6" ht="30" customHeight="1">
      <c r="A297" s="19">
        <v>295</v>
      </c>
      <c r="B297" s="57" t="s">
        <v>296</v>
      </c>
      <c r="C297" s="5" t="s">
        <v>14</v>
      </c>
      <c r="D297" s="7" t="s">
        <v>261</v>
      </c>
      <c r="E297" s="60" t="s">
        <v>263</v>
      </c>
      <c r="F297" s="36" t="s">
        <v>11</v>
      </c>
    </row>
    <row r="298" spans="1:6" ht="30" customHeight="1">
      <c r="A298" s="19">
        <v>296</v>
      </c>
      <c r="B298" s="57" t="s">
        <v>297</v>
      </c>
      <c r="C298" s="5" t="s">
        <v>14</v>
      </c>
      <c r="D298" s="7" t="s">
        <v>261</v>
      </c>
      <c r="E298" s="60" t="s">
        <v>47</v>
      </c>
      <c r="F298" s="36" t="s">
        <v>11</v>
      </c>
    </row>
    <row r="299" spans="1:6" ht="30" customHeight="1">
      <c r="A299" s="19">
        <v>297</v>
      </c>
      <c r="B299" s="57" t="s">
        <v>298</v>
      </c>
      <c r="C299" s="5" t="s">
        <v>14</v>
      </c>
      <c r="D299" s="7" t="s">
        <v>261</v>
      </c>
      <c r="E299" s="60" t="s">
        <v>47</v>
      </c>
      <c r="F299" s="36" t="s">
        <v>11</v>
      </c>
    </row>
    <row r="300" spans="1:6" ht="30" customHeight="1">
      <c r="A300" s="19">
        <v>298</v>
      </c>
      <c r="B300" s="57" t="s">
        <v>299</v>
      </c>
      <c r="C300" s="5" t="s">
        <v>14</v>
      </c>
      <c r="D300" s="7" t="s">
        <v>261</v>
      </c>
      <c r="E300" s="60" t="s">
        <v>47</v>
      </c>
      <c r="F300" s="36" t="s">
        <v>11</v>
      </c>
    </row>
    <row r="301" spans="1:6" ht="30" customHeight="1">
      <c r="A301" s="19">
        <v>299</v>
      </c>
      <c r="B301" s="57" t="s">
        <v>300</v>
      </c>
      <c r="C301" s="5" t="s">
        <v>14</v>
      </c>
      <c r="D301" s="7" t="s">
        <v>261</v>
      </c>
      <c r="E301" s="60" t="s">
        <v>180</v>
      </c>
      <c r="F301" s="36" t="s">
        <v>11</v>
      </c>
    </row>
    <row r="302" spans="1:6" ht="30" customHeight="1">
      <c r="A302" s="19">
        <v>300</v>
      </c>
      <c r="B302" s="57" t="s">
        <v>301</v>
      </c>
      <c r="C302" s="5" t="s">
        <v>14</v>
      </c>
      <c r="D302" s="7" t="s">
        <v>261</v>
      </c>
      <c r="E302" s="60" t="s">
        <v>180</v>
      </c>
      <c r="F302" s="36" t="s">
        <v>11</v>
      </c>
    </row>
    <row r="303" spans="1:6" ht="30" customHeight="1">
      <c r="A303" s="19">
        <v>301</v>
      </c>
      <c r="B303" s="57" t="s">
        <v>302</v>
      </c>
      <c r="C303" s="5" t="s">
        <v>14</v>
      </c>
      <c r="D303" s="7" t="s">
        <v>261</v>
      </c>
      <c r="E303" s="60" t="s">
        <v>81</v>
      </c>
      <c r="F303" s="36" t="s">
        <v>11</v>
      </c>
    </row>
    <row r="304" spans="1:6" ht="30" customHeight="1">
      <c r="A304" s="19">
        <v>302</v>
      </c>
      <c r="B304" s="57" t="s">
        <v>303</v>
      </c>
      <c r="C304" s="5" t="s">
        <v>14</v>
      </c>
      <c r="D304" s="7" t="s">
        <v>261</v>
      </c>
      <c r="E304" s="60" t="s">
        <v>265</v>
      </c>
      <c r="F304" s="36" t="s">
        <v>11</v>
      </c>
    </row>
    <row r="305" spans="1:6" ht="30" customHeight="1">
      <c r="A305" s="19">
        <v>303</v>
      </c>
      <c r="B305" s="57" t="s">
        <v>304</v>
      </c>
      <c r="C305" s="5" t="s">
        <v>14</v>
      </c>
      <c r="D305" s="7" t="s">
        <v>261</v>
      </c>
      <c r="E305" s="60" t="s">
        <v>265</v>
      </c>
      <c r="F305" s="36" t="s">
        <v>11</v>
      </c>
    </row>
    <row r="306" spans="1:6" ht="30" customHeight="1">
      <c r="A306" s="19">
        <v>304</v>
      </c>
      <c r="B306" s="57" t="s">
        <v>305</v>
      </c>
      <c r="C306" s="5" t="s">
        <v>14</v>
      </c>
      <c r="D306" s="7" t="s">
        <v>261</v>
      </c>
      <c r="E306" s="60" t="s">
        <v>265</v>
      </c>
      <c r="F306" s="36" t="s">
        <v>11</v>
      </c>
    </row>
    <row r="307" spans="1:6" ht="30" customHeight="1">
      <c r="A307" s="19">
        <v>305</v>
      </c>
      <c r="B307" s="57" t="s">
        <v>306</v>
      </c>
      <c r="C307" s="5" t="s">
        <v>14</v>
      </c>
      <c r="D307" s="7" t="s">
        <v>261</v>
      </c>
      <c r="E307" s="60" t="s">
        <v>180</v>
      </c>
      <c r="F307" s="36" t="s">
        <v>11</v>
      </c>
    </row>
    <row r="308" spans="1:6" ht="30" customHeight="1">
      <c r="A308" s="19">
        <v>306</v>
      </c>
      <c r="B308" s="57" t="s">
        <v>307</v>
      </c>
      <c r="C308" s="5" t="s">
        <v>14</v>
      </c>
      <c r="D308" s="7" t="s">
        <v>261</v>
      </c>
      <c r="E308" s="60" t="s">
        <v>180</v>
      </c>
      <c r="F308" s="36" t="s">
        <v>11</v>
      </c>
    </row>
    <row r="309" spans="1:6" ht="30" customHeight="1">
      <c r="A309" s="19">
        <v>307</v>
      </c>
      <c r="B309" s="57" t="s">
        <v>308</v>
      </c>
      <c r="C309" s="5" t="s">
        <v>14</v>
      </c>
      <c r="D309" s="7" t="s">
        <v>261</v>
      </c>
      <c r="E309" s="60" t="s">
        <v>180</v>
      </c>
      <c r="F309" s="36" t="s">
        <v>11</v>
      </c>
    </row>
    <row r="310" spans="1:6" ht="30" customHeight="1">
      <c r="A310" s="19">
        <v>308</v>
      </c>
      <c r="B310" s="57" t="s">
        <v>309</v>
      </c>
      <c r="C310" s="5" t="s">
        <v>14</v>
      </c>
      <c r="D310" s="7" t="s">
        <v>261</v>
      </c>
      <c r="E310" s="60" t="s">
        <v>94</v>
      </c>
      <c r="F310" s="36" t="s">
        <v>11</v>
      </c>
    </row>
    <row r="311" spans="1:6" ht="30" customHeight="1">
      <c r="A311" s="19">
        <v>309</v>
      </c>
      <c r="B311" s="57" t="s">
        <v>310</v>
      </c>
      <c r="C311" s="5" t="s">
        <v>14</v>
      </c>
      <c r="D311" s="7" t="s">
        <v>261</v>
      </c>
      <c r="E311" s="60" t="s">
        <v>94</v>
      </c>
      <c r="F311" s="36" t="s">
        <v>11</v>
      </c>
    </row>
    <row r="312" spans="1:6" ht="30" customHeight="1">
      <c r="A312" s="19">
        <v>310</v>
      </c>
      <c r="B312" s="57" t="s">
        <v>311</v>
      </c>
      <c r="C312" s="5" t="s">
        <v>14</v>
      </c>
      <c r="D312" s="7" t="s">
        <v>261</v>
      </c>
      <c r="E312" s="60" t="s">
        <v>94</v>
      </c>
      <c r="F312" s="36" t="s">
        <v>11</v>
      </c>
    </row>
    <row r="313" spans="1:6" ht="30" customHeight="1">
      <c r="A313" s="19">
        <v>311</v>
      </c>
      <c r="B313" s="57" t="s">
        <v>312</v>
      </c>
      <c r="C313" s="5" t="s">
        <v>17</v>
      </c>
      <c r="D313" s="7" t="s">
        <v>261</v>
      </c>
      <c r="E313" s="60" t="s">
        <v>81</v>
      </c>
      <c r="F313" s="36" t="s">
        <v>11</v>
      </c>
    </row>
    <row r="314" spans="1:6" ht="30" customHeight="1">
      <c r="A314" s="19">
        <v>312</v>
      </c>
      <c r="B314" s="57" t="s">
        <v>313</v>
      </c>
      <c r="C314" s="5" t="s">
        <v>17</v>
      </c>
      <c r="D314" s="7" t="s">
        <v>261</v>
      </c>
      <c r="E314" s="60" t="s">
        <v>314</v>
      </c>
      <c r="F314" s="36" t="s">
        <v>11</v>
      </c>
    </row>
    <row r="315" spans="1:6" ht="30" customHeight="1">
      <c r="A315" s="19">
        <v>313</v>
      </c>
      <c r="B315" s="57" t="s">
        <v>315</v>
      </c>
      <c r="C315" s="5" t="s">
        <v>17</v>
      </c>
      <c r="D315" s="7" t="s">
        <v>261</v>
      </c>
      <c r="E315" s="60" t="s">
        <v>269</v>
      </c>
      <c r="F315" s="36" t="s">
        <v>11</v>
      </c>
    </row>
    <row r="316" spans="1:6" ht="39" customHeight="1">
      <c r="A316" s="19">
        <v>314</v>
      </c>
      <c r="B316" s="57" t="s">
        <v>316</v>
      </c>
      <c r="C316" s="5" t="s">
        <v>17</v>
      </c>
      <c r="D316" s="7" t="s">
        <v>261</v>
      </c>
      <c r="E316" s="60" t="s">
        <v>81</v>
      </c>
      <c r="F316" s="36" t="s">
        <v>11</v>
      </c>
    </row>
    <row r="317" spans="1:6" ht="35.25" customHeight="1">
      <c r="A317" s="19">
        <v>315</v>
      </c>
      <c r="B317" s="57" t="s">
        <v>317</v>
      </c>
      <c r="C317" s="5" t="s">
        <v>17</v>
      </c>
      <c r="D317" s="7" t="s">
        <v>261</v>
      </c>
      <c r="E317" s="60" t="s">
        <v>180</v>
      </c>
      <c r="F317" s="36" t="s">
        <v>11</v>
      </c>
    </row>
    <row r="318" spans="1:6" ht="34.5" customHeight="1">
      <c r="A318" s="19">
        <v>316</v>
      </c>
      <c r="B318" s="57" t="s">
        <v>318</v>
      </c>
      <c r="C318" s="5" t="s">
        <v>17</v>
      </c>
      <c r="D318" s="7" t="s">
        <v>261</v>
      </c>
      <c r="E318" s="60" t="s">
        <v>267</v>
      </c>
      <c r="F318" s="36" t="s">
        <v>11</v>
      </c>
    </row>
    <row r="319" spans="1:6" ht="30" customHeight="1">
      <c r="A319" s="19">
        <v>317</v>
      </c>
      <c r="B319" s="57" t="s">
        <v>319</v>
      </c>
      <c r="C319" s="5" t="s">
        <v>17</v>
      </c>
      <c r="D319" s="7" t="s">
        <v>261</v>
      </c>
      <c r="E319" s="60" t="s">
        <v>90</v>
      </c>
      <c r="F319" s="36" t="s">
        <v>11</v>
      </c>
    </row>
    <row r="320" spans="1:6" ht="30" customHeight="1">
      <c r="A320" s="19">
        <v>318</v>
      </c>
      <c r="B320" s="57" t="s">
        <v>320</v>
      </c>
      <c r="C320" s="5" t="s">
        <v>17</v>
      </c>
      <c r="D320" s="7" t="s">
        <v>261</v>
      </c>
      <c r="E320" s="60" t="s">
        <v>94</v>
      </c>
      <c r="F320" s="36" t="s">
        <v>11</v>
      </c>
    </row>
    <row r="321" spans="1:6" ht="30" customHeight="1">
      <c r="A321" s="19">
        <v>319</v>
      </c>
      <c r="B321" s="57" t="s">
        <v>321</v>
      </c>
      <c r="C321" s="5" t="s">
        <v>17</v>
      </c>
      <c r="D321" s="7" t="s">
        <v>261</v>
      </c>
      <c r="E321" s="60" t="s">
        <v>94</v>
      </c>
      <c r="F321" s="36" t="s">
        <v>11</v>
      </c>
    </row>
    <row r="322" spans="1:6" ht="30" customHeight="1">
      <c r="A322" s="19">
        <v>320</v>
      </c>
      <c r="B322" s="57" t="s">
        <v>322</v>
      </c>
      <c r="C322" s="5" t="s">
        <v>128</v>
      </c>
      <c r="D322" s="7" t="s">
        <v>261</v>
      </c>
      <c r="E322" s="60" t="s">
        <v>267</v>
      </c>
      <c r="F322" s="36" t="s">
        <v>11</v>
      </c>
    </row>
    <row r="323" spans="1:6" ht="30" customHeight="1">
      <c r="A323" s="19">
        <v>321</v>
      </c>
      <c r="B323" s="57" t="s">
        <v>323</v>
      </c>
      <c r="C323" s="5" t="s">
        <v>128</v>
      </c>
      <c r="D323" s="7" t="s">
        <v>261</v>
      </c>
      <c r="E323" s="60" t="s">
        <v>180</v>
      </c>
      <c r="F323" s="36" t="s">
        <v>11</v>
      </c>
    </row>
    <row r="324" spans="1:6" ht="30" customHeight="1">
      <c r="A324" s="19">
        <v>322</v>
      </c>
      <c r="B324" s="57" t="s">
        <v>324</v>
      </c>
      <c r="C324" s="5" t="s">
        <v>128</v>
      </c>
      <c r="D324" s="7" t="s">
        <v>261</v>
      </c>
      <c r="E324" s="60" t="s">
        <v>325</v>
      </c>
      <c r="F324" s="36" t="s">
        <v>11</v>
      </c>
    </row>
    <row r="325" spans="1:6" ht="30" customHeight="1">
      <c r="A325" s="19">
        <v>323</v>
      </c>
      <c r="B325" s="57" t="s">
        <v>326</v>
      </c>
      <c r="C325" s="5" t="s">
        <v>128</v>
      </c>
      <c r="D325" s="7" t="s">
        <v>261</v>
      </c>
      <c r="E325" s="60" t="s">
        <v>19</v>
      </c>
      <c r="F325" s="36" t="s">
        <v>11</v>
      </c>
    </row>
    <row r="326" spans="1:6" ht="30" customHeight="1">
      <c r="A326" s="19">
        <v>324</v>
      </c>
      <c r="B326" s="57" t="s">
        <v>327</v>
      </c>
      <c r="C326" s="5" t="s">
        <v>128</v>
      </c>
      <c r="D326" s="7" t="s">
        <v>261</v>
      </c>
      <c r="E326" s="60" t="s">
        <v>81</v>
      </c>
      <c r="F326" s="36" t="s">
        <v>11</v>
      </c>
    </row>
    <row r="327" spans="1:6" ht="30" customHeight="1">
      <c r="A327" s="19">
        <v>325</v>
      </c>
      <c r="B327" s="57" t="s">
        <v>328</v>
      </c>
      <c r="C327" s="5" t="s">
        <v>128</v>
      </c>
      <c r="D327" s="7" t="s">
        <v>261</v>
      </c>
      <c r="E327" s="60" t="s">
        <v>81</v>
      </c>
      <c r="F327" s="36" t="s">
        <v>11</v>
      </c>
    </row>
    <row r="328" spans="1:6" ht="30" customHeight="1">
      <c r="A328" s="19">
        <v>326</v>
      </c>
      <c r="B328" s="57" t="s">
        <v>329</v>
      </c>
      <c r="C328" s="5" t="s">
        <v>128</v>
      </c>
      <c r="D328" s="7" t="s">
        <v>261</v>
      </c>
      <c r="E328" s="60" t="s">
        <v>330</v>
      </c>
      <c r="F328" s="36" t="s">
        <v>11</v>
      </c>
    </row>
    <row r="329" spans="1:6" ht="30" customHeight="1">
      <c r="A329" s="19">
        <v>327</v>
      </c>
      <c r="B329" s="57" t="s">
        <v>331</v>
      </c>
      <c r="C329" s="5" t="s">
        <v>128</v>
      </c>
      <c r="D329" s="7" t="s">
        <v>261</v>
      </c>
      <c r="E329" s="60" t="s">
        <v>180</v>
      </c>
      <c r="F329" s="36" t="s">
        <v>11</v>
      </c>
    </row>
    <row r="330" spans="1:6" ht="30" customHeight="1">
      <c r="A330" s="19">
        <v>328</v>
      </c>
      <c r="B330" s="57" t="s">
        <v>332</v>
      </c>
      <c r="C330" s="5" t="s">
        <v>128</v>
      </c>
      <c r="D330" s="7" t="s">
        <v>261</v>
      </c>
      <c r="E330" s="60" t="s">
        <v>180</v>
      </c>
      <c r="F330" s="36" t="s">
        <v>11</v>
      </c>
    </row>
    <row r="331" spans="1:6" ht="30" customHeight="1">
      <c r="A331" s="19">
        <v>329</v>
      </c>
      <c r="B331" s="57" t="s">
        <v>333</v>
      </c>
      <c r="C331" s="5" t="s">
        <v>128</v>
      </c>
      <c r="D331" s="7" t="s">
        <v>261</v>
      </c>
      <c r="E331" s="60" t="s">
        <v>263</v>
      </c>
      <c r="F331" s="36" t="s">
        <v>11</v>
      </c>
    </row>
    <row r="332" spans="1:6" ht="30" customHeight="1">
      <c r="A332" s="19">
        <v>330</v>
      </c>
      <c r="B332" s="57" t="s">
        <v>334</v>
      </c>
      <c r="C332" s="5" t="s">
        <v>128</v>
      </c>
      <c r="D332" s="7" t="s">
        <v>261</v>
      </c>
      <c r="E332" s="60" t="s">
        <v>180</v>
      </c>
      <c r="F332" s="36" t="s">
        <v>11</v>
      </c>
    </row>
    <row r="333" spans="1:6" ht="30" customHeight="1">
      <c r="A333" s="19">
        <v>331</v>
      </c>
      <c r="B333" s="57" t="s">
        <v>335</v>
      </c>
      <c r="C333" s="5" t="s">
        <v>128</v>
      </c>
      <c r="D333" s="7" t="s">
        <v>261</v>
      </c>
      <c r="E333" s="60" t="s">
        <v>180</v>
      </c>
      <c r="F333" s="36" t="s">
        <v>11</v>
      </c>
    </row>
    <row r="334" spans="1:6" ht="30" customHeight="1">
      <c r="A334" s="19">
        <v>332</v>
      </c>
      <c r="B334" s="57" t="s">
        <v>336</v>
      </c>
      <c r="C334" s="5" t="s">
        <v>128</v>
      </c>
      <c r="D334" s="7" t="s">
        <v>261</v>
      </c>
      <c r="E334" s="60" t="s">
        <v>267</v>
      </c>
      <c r="F334" s="36" t="s">
        <v>11</v>
      </c>
    </row>
    <row r="335" spans="1:6" ht="30" customHeight="1">
      <c r="A335" s="19">
        <v>333</v>
      </c>
      <c r="B335" s="57" t="s">
        <v>337</v>
      </c>
      <c r="C335" s="5" t="s">
        <v>128</v>
      </c>
      <c r="D335" s="7" t="s">
        <v>261</v>
      </c>
      <c r="E335" s="60" t="s">
        <v>180</v>
      </c>
      <c r="F335" s="36" t="s">
        <v>11</v>
      </c>
    </row>
    <row r="336" spans="1:6" ht="30" customHeight="1">
      <c r="A336" s="19">
        <v>334</v>
      </c>
      <c r="B336" s="57" t="s">
        <v>338</v>
      </c>
      <c r="C336" s="5" t="s">
        <v>128</v>
      </c>
      <c r="D336" s="7" t="s">
        <v>261</v>
      </c>
      <c r="E336" s="60" t="s">
        <v>94</v>
      </c>
      <c r="F336" s="36" t="s">
        <v>11</v>
      </c>
    </row>
    <row r="337" spans="1:6" ht="30" customHeight="1">
      <c r="A337" s="19">
        <v>335</v>
      </c>
      <c r="B337" s="57" t="s">
        <v>339</v>
      </c>
      <c r="C337" s="5" t="s">
        <v>128</v>
      </c>
      <c r="D337" s="7" t="s">
        <v>261</v>
      </c>
      <c r="E337" s="60" t="s">
        <v>94</v>
      </c>
      <c r="F337" s="36" t="s">
        <v>11</v>
      </c>
    </row>
    <row r="338" spans="1:6" ht="30" customHeight="1">
      <c r="A338" s="19">
        <v>336</v>
      </c>
      <c r="B338" s="57" t="s">
        <v>340</v>
      </c>
      <c r="C338" s="5" t="s">
        <v>8</v>
      </c>
      <c r="D338" s="7" t="s">
        <v>341</v>
      </c>
      <c r="E338" s="60" t="s">
        <v>342</v>
      </c>
      <c r="F338" s="36" t="s">
        <v>11</v>
      </c>
    </row>
    <row r="339" spans="1:6" ht="30" customHeight="1">
      <c r="A339" s="19">
        <v>337</v>
      </c>
      <c r="B339" s="57" t="s">
        <v>343</v>
      </c>
      <c r="C339" s="5" t="s">
        <v>8</v>
      </c>
      <c r="D339" s="7" t="s">
        <v>341</v>
      </c>
      <c r="E339" s="60" t="s">
        <v>342</v>
      </c>
      <c r="F339" s="36" t="s">
        <v>11</v>
      </c>
    </row>
    <row r="340" spans="1:6" ht="30" customHeight="1">
      <c r="A340" s="19">
        <v>338</v>
      </c>
      <c r="B340" s="57" t="s">
        <v>344</v>
      </c>
      <c r="C340" s="5" t="s">
        <v>14</v>
      </c>
      <c r="D340" s="7" t="s">
        <v>341</v>
      </c>
      <c r="E340" s="60" t="s">
        <v>342</v>
      </c>
      <c r="F340" s="36" t="s">
        <v>11</v>
      </c>
    </row>
    <row r="341" spans="1:6" ht="30" customHeight="1">
      <c r="A341" s="19">
        <v>339</v>
      </c>
      <c r="B341" s="57" t="s">
        <v>345</v>
      </c>
      <c r="C341" s="5" t="s">
        <v>17</v>
      </c>
      <c r="D341" s="7" t="s">
        <v>341</v>
      </c>
      <c r="E341" s="60" t="s">
        <v>342</v>
      </c>
      <c r="F341" s="36" t="s">
        <v>11</v>
      </c>
    </row>
    <row r="342" spans="1:6" ht="30" customHeight="1">
      <c r="A342" s="19">
        <v>340</v>
      </c>
      <c r="B342" s="57" t="s">
        <v>346</v>
      </c>
      <c r="C342" s="5" t="s">
        <v>128</v>
      </c>
      <c r="D342" s="7" t="s">
        <v>341</v>
      </c>
      <c r="E342" s="60" t="s">
        <v>342</v>
      </c>
      <c r="F342" s="36" t="s">
        <v>11</v>
      </c>
    </row>
    <row r="343" spans="1:6" ht="30" customHeight="1">
      <c r="A343" s="19">
        <v>341</v>
      </c>
      <c r="B343" s="57" t="s">
        <v>347</v>
      </c>
      <c r="C343" s="5" t="s">
        <v>128</v>
      </c>
      <c r="D343" s="7" t="s">
        <v>341</v>
      </c>
      <c r="E343" s="60" t="s">
        <v>342</v>
      </c>
      <c r="F343" s="36" t="s">
        <v>11</v>
      </c>
    </row>
    <row r="344" spans="1:6" ht="30" customHeight="1">
      <c r="A344" s="19">
        <v>342</v>
      </c>
      <c r="B344" s="57"/>
      <c r="C344" s="5"/>
      <c r="D344" s="7"/>
      <c r="E344" s="60"/>
      <c r="F344" s="36"/>
    </row>
    <row r="345" spans="1:6" ht="30" customHeight="1">
      <c r="A345" s="19">
        <v>343</v>
      </c>
      <c r="B345" s="57"/>
      <c r="C345" s="5"/>
      <c r="D345" s="7"/>
      <c r="E345" s="60"/>
      <c r="F345" s="36"/>
    </row>
    <row r="346" spans="1:6" ht="30" customHeight="1">
      <c r="A346" s="19">
        <v>344</v>
      </c>
      <c r="B346" s="57"/>
      <c r="C346" s="5"/>
      <c r="D346" s="7"/>
      <c r="E346" s="60"/>
      <c r="F346" s="36"/>
    </row>
    <row r="347" spans="1:6" ht="30" customHeight="1">
      <c r="A347" s="19">
        <v>345</v>
      </c>
      <c r="B347" s="57"/>
      <c r="C347" s="5"/>
      <c r="D347" s="7"/>
      <c r="E347" s="60"/>
      <c r="F347" s="36"/>
    </row>
    <row r="348" spans="1:6" ht="30" customHeight="1">
      <c r="A348" s="19">
        <v>346</v>
      </c>
      <c r="B348" s="57"/>
      <c r="C348" s="5"/>
      <c r="D348" s="7"/>
      <c r="E348" s="60"/>
      <c r="F348" s="36"/>
    </row>
    <row r="349" spans="1:6" ht="30" customHeight="1">
      <c r="A349" s="19">
        <v>347</v>
      </c>
      <c r="B349" s="57"/>
      <c r="C349" s="5"/>
      <c r="D349" s="7"/>
      <c r="E349" s="60"/>
      <c r="F349" s="36"/>
    </row>
    <row r="350" spans="1:6" ht="30" customHeight="1">
      <c r="A350" s="19">
        <v>348</v>
      </c>
      <c r="B350" s="57"/>
      <c r="C350" s="5"/>
      <c r="D350" s="7"/>
      <c r="E350" s="60"/>
      <c r="F350" s="36"/>
    </row>
    <row r="351" spans="1:6" ht="30" customHeight="1">
      <c r="A351" s="19">
        <v>349</v>
      </c>
      <c r="B351" s="57"/>
      <c r="C351" s="5"/>
      <c r="D351" s="7"/>
      <c r="E351" s="60"/>
      <c r="F351" s="36"/>
    </row>
    <row r="352" spans="1:6" ht="30" customHeight="1">
      <c r="A352" s="19">
        <v>350</v>
      </c>
      <c r="B352" s="20"/>
      <c r="C352" s="5"/>
      <c r="D352" s="7"/>
      <c r="E352" s="60"/>
      <c r="F352" s="36"/>
    </row>
    <row r="353" spans="1:6" ht="30" customHeight="1">
      <c r="A353" s="19">
        <v>351</v>
      </c>
      <c r="B353" s="48"/>
      <c r="C353" s="5"/>
      <c r="D353" s="7"/>
      <c r="E353" s="60"/>
      <c r="F353" s="36"/>
    </row>
    <row r="354" spans="1:6" ht="30" customHeight="1">
      <c r="A354" s="19">
        <v>352</v>
      </c>
      <c r="B354" s="48"/>
      <c r="C354" s="5"/>
      <c r="D354" s="7"/>
      <c r="E354" s="60"/>
      <c r="F354" s="36"/>
    </row>
    <row r="355" spans="1:6" ht="30" customHeight="1">
      <c r="A355" s="19">
        <v>353</v>
      </c>
      <c r="B355" s="47"/>
      <c r="C355" s="5"/>
      <c r="D355" s="7"/>
      <c r="E355" s="60"/>
      <c r="F355" s="36"/>
    </row>
    <row r="356" spans="1:6" ht="30" customHeight="1">
      <c r="A356" s="19">
        <v>354</v>
      </c>
      <c r="B356" s="20"/>
      <c r="C356" s="5"/>
      <c r="D356" s="7"/>
      <c r="E356" s="60"/>
      <c r="F356" s="36"/>
    </row>
    <row r="357" spans="1:6" ht="30" customHeight="1">
      <c r="A357" s="19">
        <v>355</v>
      </c>
      <c r="B357" s="20"/>
      <c r="C357" s="5"/>
      <c r="D357" s="7"/>
      <c r="E357" s="60"/>
      <c r="F357" s="36"/>
    </row>
    <row r="358" spans="1:6" ht="30" customHeight="1">
      <c r="A358" s="19">
        <v>356</v>
      </c>
      <c r="B358" s="20"/>
      <c r="C358" s="5"/>
      <c r="D358" s="7"/>
      <c r="E358" s="60"/>
      <c r="F358" s="36"/>
    </row>
    <row r="359" spans="1:6" ht="30" customHeight="1">
      <c r="A359" s="19">
        <v>357</v>
      </c>
      <c r="B359" s="48"/>
      <c r="C359" s="5"/>
      <c r="D359" s="7"/>
      <c r="E359" s="60"/>
      <c r="F359" s="36"/>
    </row>
    <row r="360" spans="1:6" ht="30" customHeight="1">
      <c r="A360" s="19">
        <v>358</v>
      </c>
      <c r="B360" s="21"/>
      <c r="C360" s="5"/>
      <c r="D360" s="7"/>
      <c r="E360" s="60"/>
      <c r="F360" s="36"/>
    </row>
    <row r="361" spans="1:6" ht="30" customHeight="1">
      <c r="A361" s="19">
        <v>359</v>
      </c>
      <c r="B361" s="21"/>
      <c r="C361" s="5"/>
      <c r="D361" s="7"/>
      <c r="E361" s="60"/>
      <c r="F361" s="36"/>
    </row>
    <row r="362" spans="1:6" ht="30" customHeight="1">
      <c r="A362" s="19">
        <v>360</v>
      </c>
      <c r="B362" s="21"/>
      <c r="C362" s="5"/>
      <c r="D362" s="7"/>
      <c r="E362" s="60"/>
      <c r="F362" s="36"/>
    </row>
    <row r="363" spans="1:6" ht="30" customHeight="1">
      <c r="A363" s="19">
        <v>361</v>
      </c>
      <c r="B363" s="21"/>
      <c r="C363" s="5"/>
      <c r="D363" s="7"/>
      <c r="E363" s="60"/>
      <c r="F363" s="36"/>
    </row>
    <row r="364" spans="1:6" ht="30" customHeight="1">
      <c r="A364" s="19">
        <v>362</v>
      </c>
      <c r="B364" s="21"/>
      <c r="C364" s="5"/>
      <c r="D364" s="7"/>
      <c r="E364" s="60"/>
      <c r="F364" s="36"/>
    </row>
    <row r="365" spans="1:6" ht="30" customHeight="1">
      <c r="A365" s="19">
        <v>363</v>
      </c>
      <c r="B365" s="21"/>
      <c r="C365" s="5"/>
      <c r="D365" s="7"/>
      <c r="E365" s="60"/>
      <c r="F365" s="36"/>
    </row>
    <row r="366" spans="1:6" ht="30" customHeight="1">
      <c r="A366" s="19">
        <v>364</v>
      </c>
      <c r="B366" s="21"/>
      <c r="C366" s="5"/>
      <c r="D366" s="7"/>
      <c r="E366" s="60"/>
      <c r="F366" s="36"/>
    </row>
    <row r="367" spans="1:6" ht="30" customHeight="1">
      <c r="A367" s="19">
        <v>365</v>
      </c>
      <c r="B367" s="21"/>
      <c r="C367" s="5"/>
      <c r="D367" s="7"/>
      <c r="E367" s="60"/>
      <c r="F367" s="36"/>
    </row>
    <row r="368" spans="1:6" ht="30" customHeight="1">
      <c r="A368" s="19">
        <v>366</v>
      </c>
      <c r="B368" s="65"/>
      <c r="C368" s="5"/>
      <c r="D368" s="7"/>
      <c r="E368" s="60"/>
      <c r="F368" s="36"/>
    </row>
    <row r="369" spans="1:6" ht="30" customHeight="1">
      <c r="A369" s="19">
        <v>367</v>
      </c>
      <c r="B369" s="21"/>
      <c r="C369" s="5"/>
      <c r="D369" s="7"/>
      <c r="E369" s="60"/>
      <c r="F369" s="36"/>
    </row>
    <row r="370" spans="1:6" ht="30" customHeight="1">
      <c r="A370" s="19">
        <v>368</v>
      </c>
      <c r="B370" s="21"/>
      <c r="C370" s="5"/>
      <c r="D370" s="7"/>
      <c r="E370" s="60"/>
      <c r="F370" s="36"/>
    </row>
    <row r="371" spans="1:6" ht="30" customHeight="1">
      <c r="A371" s="19">
        <v>369</v>
      </c>
      <c r="B371" s="64"/>
      <c r="C371" s="5"/>
      <c r="D371" s="7"/>
      <c r="E371" s="60"/>
      <c r="F371" s="36"/>
    </row>
    <row r="372" spans="1:6" ht="30" customHeight="1">
      <c r="A372" s="19">
        <v>370</v>
      </c>
      <c r="B372" s="21"/>
      <c r="C372" s="5"/>
      <c r="D372" s="7"/>
      <c r="E372" s="60"/>
      <c r="F372" s="36"/>
    </row>
    <row r="373" spans="1:6" ht="30" customHeight="1">
      <c r="A373" s="19">
        <v>371</v>
      </c>
      <c r="B373" s="66"/>
      <c r="C373" s="5"/>
      <c r="D373" s="7"/>
      <c r="E373" s="60"/>
      <c r="F373" s="36"/>
    </row>
    <row r="374" spans="1:6" ht="30" customHeight="1">
      <c r="A374" s="19">
        <v>372</v>
      </c>
      <c r="B374" s="53"/>
      <c r="C374" s="5"/>
      <c r="D374" s="7"/>
      <c r="E374" s="60"/>
      <c r="F374" s="36"/>
    </row>
    <row r="375" spans="1:6" ht="30" customHeight="1">
      <c r="A375" s="19">
        <v>373</v>
      </c>
      <c r="B375" s="53"/>
      <c r="C375" s="5"/>
      <c r="D375" s="7"/>
      <c r="E375" s="60"/>
      <c r="F375" s="36"/>
    </row>
    <row r="376" spans="1:6" ht="30" customHeight="1">
      <c r="A376" s="19">
        <v>374</v>
      </c>
      <c r="B376" s="53"/>
      <c r="C376" s="5"/>
      <c r="D376" s="7"/>
      <c r="E376" s="60"/>
      <c r="F376" s="36"/>
    </row>
    <row r="377" spans="1:6" ht="30" customHeight="1">
      <c r="A377" s="19">
        <v>375</v>
      </c>
      <c r="B377" s="67"/>
      <c r="C377" s="5"/>
      <c r="D377" s="7"/>
      <c r="E377" s="60"/>
      <c r="F377" s="36"/>
    </row>
    <row r="378" spans="1:6" ht="30" customHeight="1">
      <c r="A378" s="19">
        <v>376</v>
      </c>
      <c r="B378" s="21"/>
      <c r="C378" s="5"/>
      <c r="D378" s="7"/>
      <c r="E378" s="60"/>
      <c r="F378" s="36"/>
    </row>
    <row r="379" spans="1:6" ht="30" customHeight="1">
      <c r="A379" s="19">
        <v>377</v>
      </c>
      <c r="B379" s="64"/>
      <c r="C379" s="5"/>
      <c r="D379" s="7"/>
      <c r="E379" s="60"/>
      <c r="F379" s="36"/>
    </row>
    <row r="380" spans="1:6" ht="30" customHeight="1">
      <c r="A380" s="19">
        <v>378</v>
      </c>
      <c r="B380" s="20"/>
      <c r="C380" s="5"/>
      <c r="D380" s="7"/>
      <c r="E380" s="60"/>
      <c r="F380" s="36"/>
    </row>
    <row r="381" spans="1:6" ht="30" customHeight="1">
      <c r="A381" s="19">
        <v>379</v>
      </c>
      <c r="B381" s="67"/>
      <c r="C381" s="5"/>
      <c r="D381" s="7"/>
      <c r="E381" s="60"/>
      <c r="F381" s="36"/>
    </row>
    <row r="382" spans="1:6" ht="30" customHeight="1">
      <c r="A382" s="19">
        <v>380</v>
      </c>
      <c r="B382" s="20"/>
      <c r="C382" s="5"/>
      <c r="D382" s="7"/>
      <c r="E382" s="60"/>
      <c r="F382" s="36"/>
    </row>
    <row r="383" spans="1:6" ht="30" customHeight="1">
      <c r="A383" s="19">
        <v>381</v>
      </c>
      <c r="B383" s="68"/>
      <c r="C383" s="5"/>
      <c r="D383" s="7"/>
      <c r="E383" s="60"/>
      <c r="F383" s="36"/>
    </row>
    <row r="384" spans="1:6" ht="30" customHeight="1">
      <c r="A384" s="19">
        <v>382</v>
      </c>
      <c r="B384" s="68"/>
      <c r="C384" s="5"/>
      <c r="D384" s="7"/>
      <c r="E384" s="60"/>
      <c r="F384" s="36"/>
    </row>
    <row r="385" spans="1:6" ht="30" customHeight="1">
      <c r="A385" s="19">
        <v>383</v>
      </c>
      <c r="B385" s="68"/>
      <c r="C385" s="5"/>
      <c r="D385" s="7"/>
      <c r="E385" s="60"/>
      <c r="F385" s="36"/>
    </row>
    <row r="386" spans="1:6" ht="30" customHeight="1">
      <c r="A386" s="19">
        <v>384</v>
      </c>
      <c r="B386" s="20"/>
      <c r="C386" s="5"/>
      <c r="D386" s="7"/>
      <c r="E386" s="60"/>
      <c r="F386" s="36"/>
    </row>
    <row r="387" spans="1:6" ht="30" customHeight="1">
      <c r="A387" s="19">
        <v>385</v>
      </c>
      <c r="B387" s="20"/>
      <c r="C387" s="5"/>
      <c r="D387" s="7"/>
      <c r="E387" s="60"/>
      <c r="F387" s="36"/>
    </row>
    <row r="388" spans="1:6" ht="30" customHeight="1">
      <c r="A388" s="19">
        <v>386</v>
      </c>
      <c r="B388" s="68"/>
      <c r="C388" s="5"/>
      <c r="D388" s="7"/>
      <c r="E388" s="60"/>
      <c r="F388" s="36"/>
    </row>
    <row r="389" spans="1:6" ht="30" customHeight="1">
      <c r="A389" s="19">
        <v>387</v>
      </c>
      <c r="B389" s="68"/>
      <c r="C389" s="5"/>
      <c r="D389" s="7"/>
      <c r="E389" s="60"/>
      <c r="F389" s="36"/>
    </row>
    <row r="390" spans="1:6" ht="30" customHeight="1">
      <c r="A390" s="19">
        <v>388</v>
      </c>
      <c r="B390" s="20"/>
      <c r="C390" s="5"/>
      <c r="D390" s="7"/>
      <c r="E390" s="60"/>
      <c r="F390" s="36"/>
    </row>
    <row r="391" spans="1:6" ht="30" customHeight="1">
      <c r="A391" s="19">
        <v>389</v>
      </c>
      <c r="B391" s="20"/>
      <c r="C391" s="5"/>
      <c r="D391" s="7"/>
      <c r="E391" s="60"/>
      <c r="F391" s="36"/>
    </row>
    <row r="392" spans="1:6" ht="30" customHeight="1">
      <c r="A392" s="19">
        <v>390</v>
      </c>
      <c r="B392" s="20"/>
      <c r="C392" s="5"/>
      <c r="D392" s="7"/>
      <c r="E392" s="60"/>
      <c r="F392" s="36"/>
    </row>
    <row r="393" spans="1:6" ht="30" customHeight="1">
      <c r="A393" s="19">
        <v>391</v>
      </c>
      <c r="B393" s="51"/>
      <c r="C393" s="52"/>
      <c r="D393" s="7"/>
      <c r="E393" s="60"/>
      <c r="F393" s="36"/>
    </row>
    <row r="394" spans="1:6" ht="30" customHeight="1">
      <c r="A394" s="19">
        <v>392</v>
      </c>
      <c r="B394" s="21"/>
      <c r="C394" s="52"/>
      <c r="D394" s="7"/>
      <c r="E394" s="60"/>
      <c r="F394" s="36"/>
    </row>
    <row r="395" spans="1:6" ht="30" customHeight="1">
      <c r="A395" s="19">
        <v>393</v>
      </c>
      <c r="B395" s="21"/>
      <c r="C395" s="52"/>
      <c r="D395" s="7"/>
      <c r="E395" s="60"/>
      <c r="F395" s="36"/>
    </row>
    <row r="396" spans="1:6" ht="30" customHeight="1">
      <c r="A396" s="19">
        <v>394</v>
      </c>
      <c r="B396" s="21"/>
      <c r="C396" s="52"/>
      <c r="D396" s="7"/>
      <c r="E396" s="60"/>
      <c r="F396" s="36"/>
    </row>
    <row r="397" spans="1:6" ht="30" customHeight="1">
      <c r="A397" s="19">
        <v>395</v>
      </c>
      <c r="B397" s="21"/>
      <c r="C397" s="52"/>
      <c r="D397" s="7"/>
      <c r="E397" s="60"/>
      <c r="F397" s="36"/>
    </row>
    <row r="398" spans="1:6" ht="30" customHeight="1">
      <c r="A398" s="19">
        <v>396</v>
      </c>
      <c r="B398" s="21"/>
      <c r="C398" s="52"/>
      <c r="D398" s="7"/>
      <c r="E398" s="60"/>
      <c r="F398" s="36"/>
    </row>
    <row r="399" spans="1:6" ht="30" customHeight="1">
      <c r="A399" s="19">
        <v>397</v>
      </c>
      <c r="B399" s="21"/>
      <c r="C399" s="52"/>
      <c r="D399" s="7"/>
      <c r="E399" s="60"/>
      <c r="F399" s="36"/>
    </row>
    <row r="400" spans="1:6" ht="30" customHeight="1">
      <c r="A400" s="19">
        <v>398</v>
      </c>
      <c r="B400" s="21"/>
      <c r="C400" s="52"/>
      <c r="D400" s="7"/>
      <c r="E400" s="60"/>
      <c r="F400" s="36"/>
    </row>
    <row r="401" spans="1:6" ht="30" customHeight="1">
      <c r="A401" s="19">
        <v>399</v>
      </c>
      <c r="B401" s="21"/>
      <c r="C401" s="52"/>
      <c r="D401" s="7"/>
      <c r="E401" s="60"/>
      <c r="F401" s="36"/>
    </row>
    <row r="402" spans="1:6" ht="30" customHeight="1">
      <c r="A402" s="19">
        <v>400</v>
      </c>
      <c r="B402" s="54"/>
      <c r="C402" s="52"/>
      <c r="D402" s="7"/>
      <c r="E402" s="60"/>
      <c r="F402" s="36"/>
    </row>
    <row r="403" spans="1:6" ht="30" customHeight="1">
      <c r="A403" s="19">
        <v>401</v>
      </c>
      <c r="B403" s="21"/>
      <c r="C403" s="52"/>
      <c r="D403" s="7"/>
      <c r="E403" s="60"/>
      <c r="F403" s="36"/>
    </row>
    <row r="404" spans="1:6" ht="30" customHeight="1">
      <c r="A404" s="19">
        <v>402</v>
      </c>
      <c r="B404" s="48"/>
      <c r="C404" s="5"/>
      <c r="D404" s="7"/>
      <c r="E404" s="60"/>
      <c r="F404" s="36"/>
    </row>
    <row r="405" spans="1:6" ht="30" customHeight="1">
      <c r="A405" s="19">
        <v>403</v>
      </c>
      <c r="B405" s="48"/>
      <c r="C405" s="5"/>
      <c r="D405" s="7"/>
      <c r="E405" s="60"/>
      <c r="F405" s="36"/>
    </row>
    <row r="406" spans="1:6" ht="30" customHeight="1">
      <c r="A406" s="19">
        <v>404</v>
      </c>
      <c r="B406" s="48"/>
      <c r="C406" s="5"/>
      <c r="D406" s="7"/>
      <c r="E406" s="60"/>
      <c r="F406" s="36"/>
    </row>
    <row r="407" spans="1:6" ht="30" customHeight="1">
      <c r="A407" s="19">
        <v>405</v>
      </c>
      <c r="B407" s="48"/>
      <c r="C407" s="5"/>
      <c r="D407" s="7"/>
      <c r="E407" s="60"/>
      <c r="F407" s="36"/>
    </row>
    <row r="408" spans="1:6" ht="30" customHeight="1">
      <c r="A408" s="19">
        <v>406</v>
      </c>
      <c r="B408" s="48"/>
      <c r="C408" s="5"/>
      <c r="D408" s="7"/>
      <c r="E408" s="60"/>
      <c r="F408" s="36"/>
    </row>
    <row r="409" spans="1:6" ht="30" customHeight="1">
      <c r="A409" s="19">
        <v>407</v>
      </c>
      <c r="B409" s="48"/>
      <c r="C409" s="5"/>
      <c r="D409" s="7"/>
      <c r="E409" s="60"/>
      <c r="F409" s="36"/>
    </row>
    <row r="410" spans="1:6" ht="30" customHeight="1">
      <c r="A410" s="19">
        <v>408</v>
      </c>
      <c r="B410" s="48"/>
      <c r="C410" s="5"/>
      <c r="D410" s="7"/>
      <c r="E410" s="60"/>
      <c r="F410" s="36"/>
    </row>
    <row r="411" spans="1:6" ht="30" customHeight="1">
      <c r="A411" s="19">
        <v>409</v>
      </c>
      <c r="B411" s="48"/>
      <c r="C411" s="5"/>
      <c r="D411" s="7"/>
      <c r="E411" s="60"/>
      <c r="F411" s="36"/>
    </row>
    <row r="412" spans="1:6" ht="30" customHeight="1">
      <c r="A412" s="19">
        <v>410</v>
      </c>
      <c r="B412" s="48"/>
      <c r="C412" s="52"/>
      <c r="D412" s="7"/>
      <c r="E412" s="60"/>
      <c r="F412" s="36"/>
    </row>
    <row r="413" spans="1:6" ht="30" customHeight="1">
      <c r="A413" s="19">
        <v>411</v>
      </c>
      <c r="B413" s="48"/>
      <c r="C413" s="5"/>
      <c r="D413" s="7"/>
      <c r="E413" s="60"/>
      <c r="F413" s="36"/>
    </row>
    <row r="414" spans="1:6" ht="30" customHeight="1">
      <c r="A414" s="19">
        <v>412</v>
      </c>
      <c r="B414" s="21"/>
      <c r="C414" s="5"/>
      <c r="D414" s="7"/>
      <c r="E414" s="60"/>
      <c r="F414" s="36"/>
    </row>
    <row r="415" spans="1:6" ht="30" customHeight="1">
      <c r="A415" s="19">
        <v>413</v>
      </c>
      <c r="B415" s="21"/>
      <c r="C415" s="5"/>
      <c r="D415" s="7"/>
      <c r="E415" s="60"/>
      <c r="F415" s="36"/>
    </row>
    <row r="416" spans="1:6" ht="30" customHeight="1">
      <c r="A416" s="19">
        <v>414</v>
      </c>
      <c r="B416" s="21"/>
      <c r="C416" s="5"/>
      <c r="D416" s="7"/>
      <c r="E416" s="60"/>
      <c r="F416" s="36"/>
    </row>
    <row r="417" spans="1:6" ht="30" customHeight="1">
      <c r="A417" s="19">
        <v>415</v>
      </c>
      <c r="B417" s="21"/>
      <c r="C417" s="5"/>
      <c r="D417" s="7"/>
      <c r="E417" s="60"/>
      <c r="F417" s="36"/>
    </row>
    <row r="418" spans="1:6" ht="30" customHeight="1">
      <c r="A418" s="19">
        <v>416</v>
      </c>
      <c r="B418" s="21"/>
      <c r="C418" s="5"/>
      <c r="D418" s="7"/>
      <c r="E418" s="60"/>
      <c r="F418" s="36"/>
    </row>
    <row r="419" spans="1:6" ht="30" customHeight="1">
      <c r="A419" s="19">
        <v>417</v>
      </c>
      <c r="B419" s="21"/>
      <c r="C419" s="5"/>
      <c r="D419" s="7"/>
      <c r="E419" s="60"/>
      <c r="F419" s="36"/>
    </row>
    <row r="420" spans="1:6" ht="30" customHeight="1">
      <c r="A420" s="19">
        <v>418</v>
      </c>
      <c r="B420" s="21"/>
      <c r="C420" s="5"/>
      <c r="D420" s="7"/>
      <c r="E420" s="60"/>
      <c r="F420" s="36"/>
    </row>
    <row r="421" spans="1:6" ht="30" customHeight="1">
      <c r="A421" s="19">
        <v>419</v>
      </c>
      <c r="B421" s="21"/>
      <c r="C421" s="5"/>
      <c r="D421" s="7"/>
      <c r="E421" s="60"/>
      <c r="F421" s="36"/>
    </row>
    <row r="422" spans="1:6" ht="30" customHeight="1">
      <c r="A422" s="19">
        <v>420</v>
      </c>
      <c r="B422" s="21"/>
      <c r="C422" s="5"/>
      <c r="D422" s="7"/>
      <c r="E422" s="60"/>
      <c r="F422" s="36"/>
    </row>
    <row r="423" spans="1:6" ht="30" customHeight="1">
      <c r="A423" s="19">
        <v>421</v>
      </c>
      <c r="B423" s="21"/>
      <c r="C423" s="5"/>
      <c r="D423" s="7"/>
      <c r="E423" s="60"/>
      <c r="F423" s="36"/>
    </row>
    <row r="424" spans="1:6" ht="30" customHeight="1">
      <c r="A424" s="19">
        <v>422</v>
      </c>
      <c r="B424" s="21"/>
      <c r="C424" s="5"/>
      <c r="D424" s="7"/>
      <c r="E424" s="60"/>
      <c r="F424" s="36"/>
    </row>
    <row r="425" spans="1:6" ht="30" customHeight="1">
      <c r="A425" s="19">
        <v>435</v>
      </c>
      <c r="B425" s="48"/>
      <c r="C425" s="5"/>
      <c r="D425" s="7"/>
      <c r="E425" s="60"/>
      <c r="F425" s="36"/>
    </row>
    <row r="426" spans="1:6" ht="30" customHeight="1">
      <c r="A426" s="19">
        <v>436</v>
      </c>
      <c r="B426" s="55"/>
      <c r="C426" s="5"/>
      <c r="D426" s="7"/>
      <c r="E426" s="60"/>
      <c r="F426" s="36"/>
    </row>
    <row r="427" spans="1:6" ht="30" customHeight="1">
      <c r="A427" s="19">
        <v>437</v>
      </c>
      <c r="B427" s="55"/>
      <c r="C427" s="5"/>
      <c r="D427" s="7"/>
      <c r="E427" s="60"/>
      <c r="F427" s="36"/>
    </row>
    <row r="428" spans="1:6" ht="30" customHeight="1">
      <c r="A428" s="19">
        <v>438</v>
      </c>
      <c r="B428" s="55"/>
      <c r="C428" s="5"/>
      <c r="D428" s="7"/>
      <c r="E428" s="60"/>
      <c r="F428" s="36"/>
    </row>
    <row r="429" spans="1:6" ht="30" customHeight="1">
      <c r="A429" s="19">
        <v>439</v>
      </c>
      <c r="B429" s="55"/>
      <c r="C429" s="5"/>
      <c r="D429" s="7"/>
      <c r="E429" s="60"/>
      <c r="F429" s="36"/>
    </row>
    <row r="430" spans="1:6" ht="30" customHeight="1">
      <c r="A430" s="19">
        <v>440</v>
      </c>
      <c r="B430" s="55"/>
      <c r="C430" s="5"/>
      <c r="D430" s="7"/>
      <c r="E430" s="60"/>
      <c r="F430" s="36"/>
    </row>
    <row r="431" spans="1:6" ht="30" customHeight="1">
      <c r="A431" s="19">
        <v>441</v>
      </c>
      <c r="B431" s="55"/>
      <c r="C431" s="5"/>
      <c r="D431" s="7"/>
      <c r="E431" s="60"/>
      <c r="F431" s="36"/>
    </row>
    <row r="432" spans="1:6" ht="30" customHeight="1">
      <c r="A432" s="19">
        <v>442</v>
      </c>
      <c r="B432" s="55"/>
      <c r="C432" s="5"/>
      <c r="D432" s="7"/>
      <c r="E432" s="60"/>
      <c r="F432" s="36"/>
    </row>
    <row r="433" spans="1:6" ht="30" customHeight="1">
      <c r="A433" s="19">
        <v>443</v>
      </c>
      <c r="B433" s="55"/>
      <c r="C433" s="5"/>
      <c r="D433" s="7"/>
      <c r="E433" s="60"/>
      <c r="F433" s="36"/>
    </row>
    <row r="434" spans="1:6" ht="30" customHeight="1">
      <c r="A434" s="19">
        <v>444</v>
      </c>
      <c r="B434" s="48"/>
      <c r="C434" s="5"/>
      <c r="D434" s="7"/>
      <c r="E434" s="60"/>
      <c r="F434" s="36"/>
    </row>
    <row r="435" spans="1:6" ht="30" customHeight="1">
      <c r="A435" s="19">
        <v>445</v>
      </c>
      <c r="B435" s="48"/>
      <c r="C435" s="5"/>
      <c r="D435" s="7"/>
      <c r="E435" s="60"/>
      <c r="F435" s="36"/>
    </row>
    <row r="436" spans="1:6" ht="30" customHeight="1">
      <c r="A436" s="19">
        <v>446</v>
      </c>
      <c r="B436" s="48"/>
      <c r="C436" s="5"/>
      <c r="D436" s="7"/>
      <c r="E436" s="60"/>
      <c r="F436" s="36"/>
    </row>
    <row r="437" spans="1:6" ht="30" customHeight="1">
      <c r="A437" s="19">
        <v>447</v>
      </c>
      <c r="B437" s="48"/>
      <c r="C437" s="5"/>
      <c r="D437" s="7"/>
      <c r="E437" s="60"/>
      <c r="F437" s="36"/>
    </row>
    <row r="438" spans="1:6" ht="30" customHeight="1">
      <c r="A438" s="19">
        <v>448</v>
      </c>
      <c r="B438" s="48"/>
      <c r="C438" s="5"/>
      <c r="D438" s="7"/>
      <c r="E438" s="60"/>
      <c r="F438" s="36"/>
    </row>
    <row r="439" spans="1:6" ht="30" customHeight="1">
      <c r="A439" s="19">
        <v>449</v>
      </c>
      <c r="B439" s="55"/>
      <c r="C439" s="5"/>
      <c r="D439" s="7"/>
      <c r="E439" s="60"/>
      <c r="F439" s="36"/>
    </row>
    <row r="440" spans="1:6" ht="30" customHeight="1">
      <c r="A440" s="19">
        <v>450</v>
      </c>
      <c r="B440" s="55"/>
      <c r="C440" s="5"/>
      <c r="D440" s="7"/>
      <c r="E440" s="60"/>
      <c r="F440" s="36"/>
    </row>
    <row r="441" spans="1:6" ht="30" customHeight="1">
      <c r="A441" s="19">
        <v>451</v>
      </c>
      <c r="B441" s="48"/>
      <c r="C441" s="5"/>
      <c r="D441" s="7"/>
      <c r="E441" s="60"/>
      <c r="F441" s="36"/>
    </row>
    <row r="442" spans="1:6" ht="30" customHeight="1">
      <c r="A442" s="19">
        <v>452</v>
      </c>
      <c r="B442" s="48"/>
      <c r="C442" s="5"/>
      <c r="D442" s="7"/>
      <c r="E442" s="60"/>
      <c r="F442" s="36"/>
    </row>
    <row r="443" spans="1:6" ht="30" customHeight="1">
      <c r="A443" s="19">
        <v>453</v>
      </c>
      <c r="B443" s="48"/>
      <c r="C443" s="5"/>
      <c r="D443" s="7"/>
      <c r="E443" s="60"/>
      <c r="F443" s="36"/>
    </row>
    <row r="444" spans="1:6" ht="30" customHeight="1">
      <c r="A444" s="19">
        <v>454</v>
      </c>
      <c r="B444" s="55"/>
      <c r="C444" s="5"/>
      <c r="D444" s="7"/>
      <c r="E444" s="60"/>
      <c r="F444" s="36"/>
    </row>
    <row r="445" spans="1:6" ht="30" customHeight="1">
      <c r="A445" s="19">
        <v>455</v>
      </c>
      <c r="B445" s="48"/>
      <c r="C445" s="5"/>
      <c r="D445" s="7"/>
      <c r="E445" s="60"/>
      <c r="F445" s="36"/>
    </row>
    <row r="446" spans="1:6" ht="30" customHeight="1">
      <c r="A446" s="19">
        <v>456</v>
      </c>
      <c r="B446" s="55"/>
      <c r="C446" s="5"/>
      <c r="D446" s="7"/>
      <c r="E446" s="60"/>
      <c r="F446" s="36"/>
    </row>
    <row r="447" spans="1:6" ht="30" customHeight="1">
      <c r="A447" s="19">
        <v>457</v>
      </c>
      <c r="B447" s="48"/>
      <c r="C447" s="5"/>
      <c r="D447" s="7"/>
      <c r="E447" s="60"/>
      <c r="F447" s="36"/>
    </row>
    <row r="448" spans="1:6" ht="30" customHeight="1">
      <c r="A448" s="19">
        <v>458</v>
      </c>
      <c r="B448" s="55"/>
      <c r="C448" s="5"/>
      <c r="D448" s="7"/>
      <c r="E448" s="60"/>
      <c r="F448" s="36"/>
    </row>
    <row r="449" spans="1:6" ht="30" customHeight="1">
      <c r="A449" s="19">
        <v>459</v>
      </c>
      <c r="B449" s="48"/>
      <c r="C449" s="5"/>
      <c r="D449" s="7"/>
      <c r="E449" s="60"/>
      <c r="F449" s="36"/>
    </row>
    <row r="450" spans="1:6" ht="30" customHeight="1">
      <c r="A450" s="19">
        <v>460</v>
      </c>
      <c r="B450" s="48"/>
      <c r="C450" s="5"/>
      <c r="D450" s="7"/>
      <c r="E450" s="60"/>
      <c r="F450" s="36"/>
    </row>
    <row r="451" spans="1:6" ht="30" customHeight="1">
      <c r="A451" s="19">
        <v>461</v>
      </c>
      <c r="B451" s="48"/>
      <c r="C451" s="5"/>
      <c r="D451" s="7"/>
      <c r="E451" s="60"/>
      <c r="F451" s="36"/>
    </row>
    <row r="452" spans="1:6" ht="30" customHeight="1">
      <c r="A452" s="19">
        <v>462</v>
      </c>
      <c r="B452" s="48"/>
      <c r="C452" s="5"/>
      <c r="D452" s="7"/>
      <c r="E452" s="60"/>
      <c r="F452" s="36"/>
    </row>
    <row r="453" spans="1:6" ht="30" customHeight="1">
      <c r="A453" s="19">
        <v>463</v>
      </c>
      <c r="B453" s="48"/>
      <c r="C453" s="5"/>
      <c r="D453" s="7"/>
      <c r="E453" s="60"/>
      <c r="F453" s="36"/>
    </row>
    <row r="454" spans="1:6" ht="30" customHeight="1">
      <c r="A454" s="19">
        <v>464</v>
      </c>
      <c r="B454" s="56"/>
      <c r="C454" s="5"/>
      <c r="D454" s="7"/>
      <c r="E454" s="60"/>
      <c r="F454" s="36"/>
    </row>
    <row r="455" spans="1:6" ht="30" customHeight="1">
      <c r="A455" s="19">
        <v>465</v>
      </c>
      <c r="B455" s="57"/>
      <c r="C455" s="5"/>
      <c r="D455" s="7"/>
      <c r="E455" s="60"/>
      <c r="F455" s="36"/>
    </row>
    <row r="456" spans="1:6" ht="30" customHeight="1">
      <c r="A456" s="19">
        <v>466</v>
      </c>
      <c r="B456" s="57"/>
      <c r="C456" s="5"/>
      <c r="D456" s="7"/>
      <c r="E456" s="60"/>
      <c r="F456" s="36"/>
    </row>
    <row r="457" spans="1:6" ht="30" customHeight="1">
      <c r="A457" s="19">
        <v>467</v>
      </c>
      <c r="B457" s="57"/>
      <c r="C457" s="5"/>
      <c r="D457" s="7"/>
      <c r="E457" s="60"/>
      <c r="F457" s="36"/>
    </row>
    <row r="458" spans="1:6" ht="30" customHeight="1">
      <c r="A458" s="19">
        <v>468</v>
      </c>
      <c r="B458" s="57"/>
      <c r="C458" s="5"/>
      <c r="D458" s="7"/>
      <c r="E458" s="60"/>
      <c r="F458" s="36"/>
    </row>
    <row r="459" spans="1:6" ht="30" customHeight="1">
      <c r="A459" s="19">
        <v>469</v>
      </c>
      <c r="B459" s="57"/>
      <c r="C459" s="5"/>
      <c r="D459" s="7"/>
      <c r="E459" s="60"/>
      <c r="F459" s="36"/>
    </row>
    <row r="460" spans="1:6" ht="30" customHeight="1">
      <c r="A460" s="19">
        <v>470</v>
      </c>
      <c r="B460" s="57"/>
      <c r="C460" s="5"/>
      <c r="D460" s="7"/>
      <c r="E460" s="60"/>
      <c r="F460" s="36"/>
    </row>
    <row r="461" spans="1:6" ht="30" customHeight="1">
      <c r="A461" s="19">
        <v>471</v>
      </c>
      <c r="B461" s="57"/>
      <c r="C461" s="5"/>
      <c r="D461" s="7"/>
      <c r="E461" s="60"/>
      <c r="F461" s="36"/>
    </row>
    <row r="462" spans="1:6" ht="30" customHeight="1">
      <c r="A462" s="19">
        <v>472</v>
      </c>
      <c r="B462" s="57"/>
      <c r="C462" s="5"/>
      <c r="D462" s="7"/>
      <c r="E462" s="60"/>
      <c r="F462" s="36"/>
    </row>
    <row r="463" spans="1:6" ht="30" customHeight="1">
      <c r="A463" s="19">
        <v>473</v>
      </c>
      <c r="B463" s="57"/>
      <c r="C463" s="5"/>
      <c r="D463" s="7"/>
      <c r="E463" s="60"/>
      <c r="F463" s="36"/>
    </row>
    <row r="464" spans="1:6" ht="30" customHeight="1">
      <c r="A464" s="19">
        <v>474</v>
      </c>
      <c r="B464" s="57"/>
      <c r="C464" s="5"/>
      <c r="D464" s="7"/>
      <c r="E464" s="60"/>
      <c r="F464" s="36"/>
    </row>
    <row r="465" spans="1:6" ht="30" customHeight="1">
      <c r="A465" s="19">
        <v>475</v>
      </c>
      <c r="B465" s="57"/>
      <c r="C465" s="5"/>
      <c r="D465" s="7"/>
      <c r="E465" s="60"/>
      <c r="F465" s="36"/>
    </row>
    <row r="466" spans="1:6" ht="30" customHeight="1">
      <c r="A466" s="19">
        <v>476</v>
      </c>
      <c r="B466" s="57"/>
      <c r="C466" s="5"/>
      <c r="D466" s="7"/>
      <c r="E466" s="60"/>
      <c r="F466" s="36"/>
    </row>
    <row r="467" spans="1:6" ht="30" customHeight="1">
      <c r="A467" s="19">
        <v>477</v>
      </c>
      <c r="B467" s="57"/>
      <c r="C467" s="5"/>
      <c r="D467" s="7"/>
      <c r="E467" s="60"/>
      <c r="F467" s="36"/>
    </row>
    <row r="468" spans="1:6" ht="30" customHeight="1">
      <c r="A468" s="19">
        <v>478</v>
      </c>
      <c r="B468" s="57"/>
      <c r="C468" s="5"/>
      <c r="D468" s="7"/>
      <c r="E468" s="60"/>
      <c r="F468" s="36"/>
    </row>
    <row r="469" spans="1:6" ht="30" customHeight="1">
      <c r="A469" s="19">
        <v>479</v>
      </c>
      <c r="B469" s="57"/>
      <c r="C469" s="5"/>
      <c r="D469" s="7"/>
      <c r="E469" s="60"/>
      <c r="F469" s="36"/>
    </row>
    <row r="470" spans="1:6" ht="30" customHeight="1">
      <c r="A470" s="19">
        <v>480</v>
      </c>
      <c r="B470" s="57"/>
      <c r="C470" s="5"/>
      <c r="D470" s="7"/>
      <c r="E470" s="60"/>
      <c r="F470" s="36"/>
    </row>
    <row r="471" spans="1:6" ht="30" customHeight="1">
      <c r="A471" s="19">
        <v>481</v>
      </c>
      <c r="B471" s="57"/>
      <c r="C471" s="5"/>
      <c r="D471" s="7"/>
      <c r="E471" s="60"/>
      <c r="F471" s="36"/>
    </row>
    <row r="472" spans="1:6" ht="30" customHeight="1">
      <c r="A472" s="19">
        <v>482</v>
      </c>
      <c r="B472" s="57"/>
      <c r="C472" s="5"/>
      <c r="D472" s="7"/>
      <c r="E472" s="60"/>
      <c r="F472" s="36"/>
    </row>
    <row r="473" spans="1:6" ht="30" customHeight="1">
      <c r="A473" s="19">
        <v>483</v>
      </c>
      <c r="B473" s="57"/>
      <c r="C473" s="5"/>
      <c r="D473" s="7"/>
      <c r="E473" s="60"/>
      <c r="F473" s="36"/>
    </row>
    <row r="474" spans="1:6" ht="30" customHeight="1">
      <c r="A474" s="19">
        <v>484</v>
      </c>
      <c r="B474" s="57"/>
      <c r="C474" s="5"/>
      <c r="D474" s="7"/>
      <c r="E474" s="60"/>
      <c r="F474" s="36"/>
    </row>
    <row r="475" spans="1:6" ht="30" customHeight="1">
      <c r="A475" s="19">
        <v>485</v>
      </c>
      <c r="B475" s="57"/>
      <c r="C475" s="5"/>
      <c r="D475" s="7"/>
      <c r="E475" s="60"/>
      <c r="F475" s="36"/>
    </row>
    <row r="476" spans="1:6" ht="30" customHeight="1">
      <c r="A476" s="19">
        <v>486</v>
      </c>
      <c r="B476" s="57"/>
      <c r="C476" s="5"/>
      <c r="D476" s="7"/>
      <c r="E476" s="60"/>
      <c r="F476" s="36"/>
    </row>
    <row r="477" spans="1:6" ht="30" customHeight="1">
      <c r="A477" s="19">
        <v>487</v>
      </c>
      <c r="B477" s="57"/>
      <c r="C477" s="5"/>
      <c r="D477" s="7"/>
      <c r="E477" s="60"/>
      <c r="F477" s="36"/>
    </row>
    <row r="478" spans="1:6" ht="30" customHeight="1">
      <c r="A478" s="19">
        <v>488</v>
      </c>
      <c r="B478" s="57"/>
      <c r="C478" s="5"/>
      <c r="D478" s="7"/>
      <c r="E478" s="60"/>
      <c r="F478" s="36"/>
    </row>
    <row r="479" spans="1:6" ht="30" customHeight="1">
      <c r="A479" s="19">
        <v>489</v>
      </c>
      <c r="B479" s="57"/>
      <c r="C479" s="5"/>
      <c r="D479" s="7"/>
      <c r="E479" s="60"/>
      <c r="F479" s="36"/>
    </row>
    <row r="480" spans="1:6" ht="30" customHeight="1">
      <c r="A480" s="19">
        <v>490</v>
      </c>
      <c r="B480" s="57"/>
      <c r="C480" s="5"/>
      <c r="D480" s="7"/>
      <c r="E480" s="60"/>
      <c r="F480" s="36"/>
    </row>
    <row r="481" spans="1:6" ht="30" customHeight="1">
      <c r="A481" s="19">
        <v>491</v>
      </c>
      <c r="B481" s="57"/>
      <c r="C481" s="5"/>
      <c r="D481" s="7"/>
      <c r="E481" s="60"/>
      <c r="F481" s="36"/>
    </row>
    <row r="482" spans="1:6" ht="30" customHeight="1">
      <c r="A482" s="19">
        <v>492</v>
      </c>
      <c r="B482" s="57"/>
      <c r="C482" s="5"/>
      <c r="D482" s="7"/>
      <c r="E482" s="60"/>
      <c r="F482" s="36"/>
    </row>
    <row r="483" spans="1:6" ht="30" customHeight="1">
      <c r="A483" s="19">
        <v>493</v>
      </c>
      <c r="B483" s="57"/>
      <c r="C483" s="5"/>
      <c r="D483" s="7"/>
      <c r="E483" s="60"/>
      <c r="F483" s="36"/>
    </row>
    <row r="484" spans="1:6" ht="30" customHeight="1">
      <c r="A484" s="19">
        <v>494</v>
      </c>
      <c r="B484" s="57"/>
      <c r="C484" s="5"/>
      <c r="D484" s="7"/>
      <c r="E484" s="60"/>
      <c r="F484" s="36"/>
    </row>
    <row r="485" spans="1:6" ht="30" customHeight="1">
      <c r="A485" s="19">
        <v>495</v>
      </c>
      <c r="B485" s="57"/>
      <c r="C485" s="5"/>
      <c r="D485" s="7"/>
      <c r="E485" s="60"/>
      <c r="F485" s="36"/>
    </row>
    <row r="486" spans="1:6" ht="30" customHeight="1">
      <c r="A486" s="19">
        <v>496</v>
      </c>
      <c r="B486" s="57"/>
      <c r="C486" s="5"/>
      <c r="D486" s="7"/>
      <c r="E486" s="60"/>
      <c r="F486" s="36"/>
    </row>
    <row r="487" spans="1:6" ht="30" customHeight="1">
      <c r="A487" s="19">
        <v>497</v>
      </c>
      <c r="B487" s="57"/>
      <c r="C487" s="5"/>
      <c r="D487" s="7"/>
      <c r="E487" s="60"/>
      <c r="F487" s="36"/>
    </row>
    <row r="488" spans="1:6" ht="30" customHeight="1">
      <c r="A488" s="19">
        <v>498</v>
      </c>
      <c r="B488" s="57"/>
      <c r="C488" s="5"/>
      <c r="D488" s="7"/>
      <c r="E488" s="60"/>
      <c r="F488" s="36"/>
    </row>
    <row r="489" spans="1:6" ht="30" customHeight="1">
      <c r="A489" s="19">
        <v>499</v>
      </c>
      <c r="B489" s="57"/>
      <c r="C489" s="5"/>
      <c r="D489" s="7"/>
      <c r="E489" s="60"/>
      <c r="F489" s="36"/>
    </row>
    <row r="490" spans="1:6" ht="30" customHeight="1">
      <c r="A490" s="19">
        <v>500</v>
      </c>
      <c r="B490" s="57"/>
      <c r="C490" s="5"/>
      <c r="D490" s="7"/>
      <c r="E490" s="60"/>
      <c r="F490" s="36"/>
    </row>
    <row r="491" spans="1:6" ht="30" customHeight="1">
      <c r="A491" s="19">
        <v>501</v>
      </c>
      <c r="B491" s="57"/>
      <c r="C491" s="5"/>
      <c r="D491" s="7"/>
      <c r="E491" s="60"/>
      <c r="F491" s="36"/>
    </row>
    <row r="492" spans="1:6" ht="30" customHeight="1">
      <c r="A492" s="19">
        <v>502</v>
      </c>
      <c r="B492" s="57"/>
      <c r="C492" s="5"/>
      <c r="D492" s="7"/>
      <c r="E492" s="60"/>
      <c r="F492" s="36"/>
    </row>
    <row r="493" spans="1:6" ht="30" customHeight="1">
      <c r="A493" s="19">
        <v>503</v>
      </c>
      <c r="B493" s="57"/>
      <c r="C493" s="5"/>
      <c r="D493" s="7"/>
      <c r="E493" s="60"/>
      <c r="F493" s="36"/>
    </row>
    <row r="494" spans="1:6" ht="30" customHeight="1">
      <c r="A494" s="19">
        <v>504</v>
      </c>
      <c r="B494" s="57"/>
      <c r="C494" s="5"/>
      <c r="D494" s="7"/>
      <c r="E494" s="60"/>
      <c r="F494" s="36"/>
    </row>
    <row r="495" spans="1:6" ht="30" customHeight="1">
      <c r="A495" s="19">
        <v>505</v>
      </c>
      <c r="B495" s="57"/>
      <c r="C495" s="5"/>
      <c r="D495" s="7"/>
      <c r="E495" s="60"/>
      <c r="F495" s="36"/>
    </row>
    <row r="496" spans="1:6" ht="30" customHeight="1">
      <c r="A496" s="19">
        <v>506</v>
      </c>
      <c r="B496" s="57"/>
      <c r="C496" s="5"/>
      <c r="D496" s="7"/>
      <c r="E496" s="60"/>
      <c r="F496" s="36"/>
    </row>
    <row r="497" spans="1:6" ht="30" customHeight="1">
      <c r="A497" s="19">
        <v>507</v>
      </c>
      <c r="B497" s="57"/>
      <c r="C497" s="5"/>
      <c r="D497" s="7"/>
      <c r="E497" s="60"/>
      <c r="F497" s="36"/>
    </row>
    <row r="498" spans="1:6" ht="30" customHeight="1">
      <c r="A498" s="19">
        <v>508</v>
      </c>
      <c r="B498" s="57"/>
      <c r="C498" s="5"/>
      <c r="D498" s="7"/>
      <c r="E498" s="60"/>
      <c r="F498" s="36"/>
    </row>
    <row r="499" spans="1:6" ht="30" customHeight="1">
      <c r="A499" s="19">
        <v>509</v>
      </c>
      <c r="B499" s="57"/>
      <c r="C499" s="5"/>
      <c r="D499" s="7"/>
      <c r="E499" s="60"/>
      <c r="F499" s="36"/>
    </row>
    <row r="500" spans="1:6" ht="30" customHeight="1">
      <c r="A500" s="19">
        <v>510</v>
      </c>
      <c r="B500" s="57"/>
      <c r="C500" s="5"/>
      <c r="D500" s="7"/>
      <c r="E500" s="60"/>
      <c r="F500" s="36"/>
    </row>
    <row r="501" spans="1:6" ht="30" customHeight="1">
      <c r="A501" s="19">
        <v>511</v>
      </c>
      <c r="B501" s="57"/>
      <c r="C501" s="5"/>
      <c r="D501" s="7"/>
      <c r="E501" s="60"/>
      <c r="F501" s="36"/>
    </row>
    <row r="502" spans="1:6" ht="30" customHeight="1">
      <c r="A502" s="19">
        <v>512</v>
      </c>
      <c r="B502" s="57"/>
      <c r="C502" s="5"/>
      <c r="D502" s="7"/>
      <c r="E502" s="60"/>
      <c r="F502" s="36"/>
    </row>
    <row r="503" spans="1:6" ht="30" customHeight="1">
      <c r="A503" s="19">
        <v>513</v>
      </c>
      <c r="B503" s="57"/>
      <c r="C503" s="5"/>
      <c r="D503" s="7"/>
      <c r="E503" s="60"/>
      <c r="F503" s="36"/>
    </row>
    <row r="504" spans="1:6" ht="30" customHeight="1">
      <c r="A504" s="19">
        <v>514</v>
      </c>
      <c r="B504" s="57"/>
      <c r="C504" s="5"/>
      <c r="D504" s="7"/>
      <c r="E504" s="60"/>
      <c r="F504" s="36"/>
    </row>
    <row r="505" spans="1:6" ht="30" customHeight="1">
      <c r="A505" s="19">
        <v>515</v>
      </c>
      <c r="B505" s="57"/>
      <c r="C505" s="5"/>
      <c r="D505" s="7"/>
      <c r="E505" s="60"/>
      <c r="F505" s="36"/>
    </row>
    <row r="506" spans="1:6" ht="30" customHeight="1">
      <c r="A506" s="19">
        <v>516</v>
      </c>
      <c r="B506" s="57"/>
      <c r="C506" s="5"/>
      <c r="D506" s="7"/>
      <c r="E506" s="60"/>
      <c r="F506" s="36"/>
    </row>
    <row r="507" spans="1:6" ht="30" customHeight="1">
      <c r="A507" s="19">
        <v>517</v>
      </c>
      <c r="B507" s="57"/>
      <c r="C507" s="5"/>
      <c r="D507" s="7"/>
      <c r="E507" s="60"/>
      <c r="F507" s="36"/>
    </row>
    <row r="508" spans="1:6" ht="30" customHeight="1">
      <c r="A508" s="19">
        <v>518</v>
      </c>
      <c r="B508" s="57"/>
      <c r="C508" s="5"/>
      <c r="D508" s="7"/>
      <c r="E508" s="60"/>
      <c r="F508" s="36"/>
    </row>
    <row r="509" spans="1:6" ht="30" customHeight="1">
      <c r="A509" s="19">
        <v>519</v>
      </c>
      <c r="B509" s="57"/>
      <c r="C509" s="5"/>
      <c r="D509" s="7"/>
      <c r="E509" s="60"/>
      <c r="F509" s="36"/>
    </row>
    <row r="510" spans="1:6" ht="30" customHeight="1">
      <c r="A510" s="19">
        <v>520</v>
      </c>
      <c r="B510" s="57"/>
      <c r="C510" s="5"/>
      <c r="D510" s="7"/>
      <c r="E510" s="60"/>
      <c r="F510" s="36"/>
    </row>
    <row r="511" spans="1:6" ht="30" customHeight="1">
      <c r="A511" s="19">
        <v>521</v>
      </c>
      <c r="B511" s="57"/>
      <c r="C511" s="5"/>
      <c r="D511" s="7"/>
      <c r="E511" s="60"/>
      <c r="F511" s="36"/>
    </row>
    <row r="512" spans="1:6" ht="21">
      <c r="A512" s="19">
        <v>522</v>
      </c>
      <c r="B512" s="57"/>
      <c r="C512" s="5"/>
      <c r="D512" s="7"/>
      <c r="E512" s="60"/>
      <c r="F512" s="36"/>
    </row>
    <row r="513" spans="1:6" ht="21">
      <c r="A513" s="19">
        <v>523</v>
      </c>
      <c r="B513" s="57"/>
      <c r="C513" s="5"/>
      <c r="D513" s="7"/>
      <c r="E513" s="60"/>
      <c r="F513" s="36"/>
    </row>
    <row r="514" spans="1:6" ht="21">
      <c r="A514" s="19">
        <v>524</v>
      </c>
      <c r="B514" s="57"/>
      <c r="C514" s="5"/>
      <c r="D514" s="7"/>
      <c r="E514" s="60"/>
      <c r="F514" s="36"/>
    </row>
    <row r="515" spans="1:6" ht="21">
      <c r="A515" s="19">
        <v>525</v>
      </c>
      <c r="B515" s="57"/>
      <c r="C515" s="5"/>
      <c r="D515" s="7"/>
      <c r="E515" s="60"/>
      <c r="F515" s="36"/>
    </row>
    <row r="516" spans="1:6" ht="21">
      <c r="A516" s="19">
        <v>526</v>
      </c>
      <c r="B516" s="57"/>
      <c r="C516" s="5"/>
      <c r="D516" s="7"/>
      <c r="E516" s="60"/>
      <c r="F516" s="36"/>
    </row>
    <row r="517" spans="1:6" ht="21">
      <c r="A517" s="19">
        <v>527</v>
      </c>
      <c r="B517" s="57"/>
      <c r="C517" s="5"/>
      <c r="D517" s="7"/>
      <c r="E517" s="60"/>
      <c r="F517" s="36"/>
    </row>
    <row r="518" spans="1:6" ht="21">
      <c r="A518" s="19">
        <v>528</v>
      </c>
      <c r="B518" s="57"/>
      <c r="C518" s="5"/>
      <c r="D518" s="7"/>
      <c r="E518" s="60"/>
      <c r="F518" s="36"/>
    </row>
    <row r="519" spans="1:6" ht="21">
      <c r="A519" s="19">
        <v>529</v>
      </c>
      <c r="B519" s="57"/>
      <c r="C519" s="5"/>
      <c r="D519" s="7"/>
      <c r="E519" s="60"/>
      <c r="F519" s="36"/>
    </row>
    <row r="520" spans="1:6" ht="21">
      <c r="A520" s="19">
        <v>530</v>
      </c>
      <c r="B520" s="57"/>
      <c r="C520" s="5"/>
      <c r="D520" s="7"/>
      <c r="E520" s="60"/>
      <c r="F520" s="36"/>
    </row>
    <row r="521" spans="1:6" ht="21">
      <c r="A521" s="19">
        <v>531</v>
      </c>
      <c r="B521" s="57"/>
      <c r="C521" s="5"/>
      <c r="D521" s="7"/>
      <c r="E521" s="60"/>
      <c r="F521" s="36"/>
    </row>
    <row r="522" spans="1:6" ht="21">
      <c r="A522" s="19">
        <v>532</v>
      </c>
      <c r="B522" s="57"/>
      <c r="C522" s="5"/>
      <c r="D522" s="7"/>
      <c r="E522" s="60"/>
      <c r="F522" s="36"/>
    </row>
    <row r="523" spans="1:6" ht="21">
      <c r="A523" s="19">
        <v>533</v>
      </c>
      <c r="B523" s="57"/>
      <c r="C523" s="5"/>
      <c r="D523" s="7"/>
      <c r="E523" s="60"/>
      <c r="F523" s="36"/>
    </row>
    <row r="524" spans="1:6" ht="21">
      <c r="A524" s="19">
        <v>534</v>
      </c>
      <c r="B524" s="57"/>
      <c r="C524" s="5"/>
      <c r="D524" s="7"/>
      <c r="E524" s="60"/>
      <c r="F524" s="36"/>
    </row>
    <row r="525" spans="1:6" ht="21">
      <c r="A525" s="19">
        <v>535</v>
      </c>
      <c r="B525" s="57"/>
      <c r="C525" s="5"/>
      <c r="D525" s="7"/>
      <c r="E525" s="60"/>
      <c r="F525" s="36"/>
    </row>
    <row r="526" spans="1:6" ht="21">
      <c r="A526" s="19">
        <v>536</v>
      </c>
      <c r="B526" s="57"/>
      <c r="C526" s="5"/>
      <c r="D526" s="7"/>
      <c r="E526" s="60"/>
      <c r="F526" s="36"/>
    </row>
    <row r="527" spans="1:6" ht="21">
      <c r="A527" s="19">
        <v>537</v>
      </c>
      <c r="B527" s="57"/>
      <c r="C527" s="5"/>
      <c r="D527" s="7"/>
      <c r="E527" s="60"/>
      <c r="F527" s="36"/>
    </row>
    <row r="528" spans="1:6" ht="21">
      <c r="A528" s="19">
        <v>538</v>
      </c>
      <c r="B528" s="57"/>
      <c r="C528" s="5"/>
      <c r="D528" s="7"/>
      <c r="E528" s="60"/>
      <c r="F528" s="36"/>
    </row>
    <row r="529" spans="1:6" ht="21">
      <c r="A529" s="19">
        <v>539</v>
      </c>
      <c r="B529" s="57"/>
      <c r="C529" s="5"/>
      <c r="D529" s="7"/>
      <c r="E529" s="60"/>
      <c r="F529" s="36"/>
    </row>
    <row r="530" spans="1:6" ht="21">
      <c r="A530" s="19">
        <v>540</v>
      </c>
      <c r="B530" s="57"/>
      <c r="C530" s="5"/>
      <c r="D530" s="7"/>
      <c r="E530" s="60"/>
      <c r="F530" s="36"/>
    </row>
    <row r="531" spans="1:6" ht="21">
      <c r="A531" s="19">
        <v>541</v>
      </c>
      <c r="B531" s="57"/>
      <c r="C531" s="5"/>
      <c r="D531" s="7"/>
      <c r="E531" s="60"/>
      <c r="F531" s="36"/>
    </row>
    <row r="532" spans="1:6" ht="21">
      <c r="A532" s="19">
        <v>542</v>
      </c>
      <c r="B532" s="57"/>
      <c r="C532" s="5"/>
      <c r="D532" s="7"/>
      <c r="E532" s="60"/>
      <c r="F532" s="36"/>
    </row>
    <row r="533" spans="1:6" ht="21">
      <c r="A533" s="19">
        <v>543</v>
      </c>
      <c r="B533" s="57"/>
      <c r="C533" s="5"/>
      <c r="D533" s="7"/>
      <c r="E533" s="60"/>
      <c r="F533" s="36"/>
    </row>
    <row r="534" spans="1:6" ht="21">
      <c r="A534" s="19">
        <v>544</v>
      </c>
      <c r="B534" s="57"/>
      <c r="C534" s="5"/>
      <c r="D534" s="7"/>
      <c r="E534" s="60"/>
      <c r="F534" s="36"/>
    </row>
    <row r="535" spans="1:6" ht="21">
      <c r="A535" s="19">
        <v>545</v>
      </c>
      <c r="B535" s="57"/>
      <c r="C535" s="5"/>
      <c r="D535" s="7"/>
      <c r="E535" s="60"/>
      <c r="F535" s="36"/>
    </row>
    <row r="536" spans="1:6" ht="21">
      <c r="A536" s="19">
        <v>546</v>
      </c>
      <c r="B536" s="57"/>
      <c r="C536" s="5"/>
      <c r="D536" s="7"/>
      <c r="E536" s="60"/>
      <c r="F536" s="36"/>
    </row>
    <row r="537" spans="1:6" ht="21">
      <c r="A537" s="19">
        <v>547</v>
      </c>
      <c r="B537" s="57"/>
      <c r="C537" s="5"/>
      <c r="D537" s="7"/>
      <c r="E537" s="60"/>
      <c r="F537" s="36"/>
    </row>
    <row r="538" spans="1:6" ht="21">
      <c r="A538" s="19">
        <v>548</v>
      </c>
      <c r="B538" s="57"/>
      <c r="C538" s="5"/>
      <c r="D538" s="7"/>
      <c r="E538" s="60"/>
      <c r="F538" s="36"/>
    </row>
    <row r="539" spans="1:6" ht="21">
      <c r="A539" s="19">
        <v>549</v>
      </c>
      <c r="B539" s="57"/>
      <c r="C539" s="5"/>
      <c r="D539" s="7"/>
      <c r="E539" s="60"/>
      <c r="F539" s="36"/>
    </row>
    <row r="540" spans="1:6" ht="21">
      <c r="A540" s="19">
        <v>550</v>
      </c>
      <c r="B540" s="57"/>
      <c r="C540" s="5"/>
      <c r="D540" s="7"/>
      <c r="E540" s="60"/>
      <c r="F540" s="36"/>
    </row>
    <row r="541" spans="1:6" ht="21">
      <c r="A541" s="19">
        <v>551</v>
      </c>
      <c r="B541" s="57"/>
      <c r="C541" s="5"/>
      <c r="D541" s="7"/>
      <c r="E541" s="60"/>
      <c r="F541" s="36"/>
    </row>
    <row r="542" spans="1:6" ht="21">
      <c r="A542" s="19">
        <v>552</v>
      </c>
      <c r="B542" s="57"/>
      <c r="C542" s="5"/>
      <c r="D542" s="7"/>
      <c r="E542" s="60"/>
      <c r="F542" s="36"/>
    </row>
    <row r="543" spans="1:6" ht="21">
      <c r="A543" s="19">
        <v>553</v>
      </c>
      <c r="B543" s="57"/>
      <c r="C543" s="5"/>
      <c r="D543" s="7"/>
      <c r="E543" s="60"/>
      <c r="F543" s="36"/>
    </row>
    <row r="544" spans="1:6" ht="21">
      <c r="A544" s="19">
        <v>554</v>
      </c>
      <c r="B544" s="57"/>
      <c r="C544" s="5"/>
      <c r="D544" s="7"/>
      <c r="E544" s="60"/>
      <c r="F544" s="36"/>
    </row>
    <row r="545" spans="1:6" ht="21">
      <c r="A545" s="19">
        <v>555</v>
      </c>
      <c r="B545" s="57"/>
      <c r="C545" s="5"/>
      <c r="D545" s="7"/>
      <c r="E545" s="60"/>
      <c r="F545" s="36"/>
    </row>
    <row r="546" spans="1:6" ht="21">
      <c r="A546" s="19">
        <v>556</v>
      </c>
      <c r="B546" s="57"/>
      <c r="C546" s="5"/>
      <c r="D546" s="7"/>
      <c r="E546" s="60"/>
      <c r="F546" s="36"/>
    </row>
    <row r="547" spans="1:6" ht="21">
      <c r="A547" s="19">
        <v>557</v>
      </c>
      <c r="B547" s="57"/>
      <c r="C547" s="5"/>
      <c r="D547" s="7"/>
      <c r="E547" s="60"/>
      <c r="F547" s="36"/>
    </row>
    <row r="548" spans="1:6" ht="21">
      <c r="A548" s="19">
        <v>558</v>
      </c>
      <c r="B548" s="57"/>
      <c r="C548" s="5"/>
      <c r="D548" s="7"/>
      <c r="E548" s="60"/>
      <c r="F548" s="36"/>
    </row>
    <row r="549" spans="1:6" ht="21">
      <c r="A549" s="19">
        <v>559</v>
      </c>
      <c r="B549" s="57"/>
      <c r="C549" s="5"/>
      <c r="D549" s="7"/>
      <c r="E549" s="60"/>
      <c r="F549" s="36"/>
    </row>
    <row r="550" spans="1:6" ht="21">
      <c r="A550" s="19">
        <v>560</v>
      </c>
      <c r="B550" s="57"/>
      <c r="C550" s="5"/>
      <c r="D550" s="7"/>
      <c r="E550" s="60"/>
      <c r="F550" s="36"/>
    </row>
    <row r="551" spans="1:6" ht="21">
      <c r="A551" s="19">
        <v>561</v>
      </c>
      <c r="B551" s="48"/>
      <c r="C551" s="61"/>
      <c r="D551" s="7"/>
      <c r="E551" s="58"/>
      <c r="F551" s="36"/>
    </row>
    <row r="552" spans="1:6" ht="21">
      <c r="A552" s="19">
        <v>562</v>
      </c>
      <c r="B552" s="48"/>
      <c r="C552" s="62"/>
      <c r="D552" s="7"/>
      <c r="E552" s="58"/>
      <c r="F552" s="36"/>
    </row>
    <row r="553" spans="1:6" ht="21">
      <c r="A553" s="19">
        <v>563</v>
      </c>
      <c r="B553" s="48"/>
      <c r="C553" s="62"/>
      <c r="D553" s="7"/>
      <c r="E553" s="58"/>
      <c r="F553" s="36"/>
    </row>
    <row r="554" spans="1:6" ht="21">
      <c r="A554" s="19">
        <v>564</v>
      </c>
      <c r="B554" s="48"/>
      <c r="C554" s="62"/>
      <c r="D554" s="7"/>
      <c r="E554" s="58"/>
      <c r="F554" s="36"/>
    </row>
    <row r="555" spans="1:6" ht="21">
      <c r="A555" s="19">
        <v>565</v>
      </c>
      <c r="B555" s="48"/>
      <c r="C555" s="62"/>
      <c r="D555" s="7"/>
      <c r="E555" s="58"/>
      <c r="F555" s="36"/>
    </row>
    <row r="556" spans="1:6" ht="21">
      <c r="A556" s="19">
        <v>566</v>
      </c>
      <c r="B556" s="48"/>
      <c r="C556" s="62"/>
      <c r="D556" s="7"/>
      <c r="E556" s="58"/>
      <c r="F556" s="36"/>
    </row>
    <row r="557" spans="1:6" ht="21">
      <c r="A557" s="19">
        <v>567</v>
      </c>
      <c r="B557" s="48"/>
      <c r="C557" s="62"/>
      <c r="D557" s="7"/>
      <c r="E557" s="58"/>
      <c r="F557" s="36"/>
    </row>
    <row r="558" spans="1:6" ht="21">
      <c r="A558" s="19">
        <v>568</v>
      </c>
      <c r="B558" s="48"/>
      <c r="C558" s="62"/>
      <c r="D558" s="7"/>
      <c r="E558" s="58"/>
      <c r="F558" s="36"/>
    </row>
    <row r="559" spans="1:6" ht="21">
      <c r="A559" s="19">
        <v>569</v>
      </c>
      <c r="B559" s="48"/>
      <c r="C559" s="62"/>
      <c r="D559" s="7"/>
      <c r="E559" s="58"/>
      <c r="F559" s="36"/>
    </row>
    <row r="560" spans="1:6" ht="21">
      <c r="A560" s="19">
        <v>570</v>
      </c>
      <c r="B560" s="48"/>
      <c r="C560" s="62"/>
      <c r="D560" s="7"/>
      <c r="E560" s="58"/>
      <c r="F560" s="36"/>
    </row>
    <row r="561" spans="1:6" ht="21">
      <c r="A561" s="19">
        <v>571</v>
      </c>
      <c r="B561" s="48"/>
      <c r="C561" s="62"/>
      <c r="D561" s="7"/>
      <c r="E561" s="58"/>
      <c r="F561" s="36"/>
    </row>
    <row r="562" spans="1:6" ht="21">
      <c r="A562" s="19">
        <v>572</v>
      </c>
      <c r="B562" s="48"/>
      <c r="C562" s="62"/>
      <c r="D562" s="7"/>
      <c r="E562" s="58"/>
      <c r="F562" s="36"/>
    </row>
    <row r="563" spans="1:6" ht="21">
      <c r="A563" s="19">
        <v>573</v>
      </c>
      <c r="B563" s="48"/>
      <c r="C563" s="62"/>
      <c r="D563" s="7"/>
      <c r="E563" s="58"/>
      <c r="F563" s="36"/>
    </row>
    <row r="564" spans="1:6" ht="21">
      <c r="A564" s="19">
        <v>574</v>
      </c>
      <c r="B564" s="48"/>
      <c r="C564" s="62"/>
      <c r="D564" s="7"/>
      <c r="E564" s="58"/>
      <c r="F564" s="36"/>
    </row>
    <row r="565" spans="1:6" ht="21">
      <c r="A565" s="19">
        <v>575</v>
      </c>
      <c r="B565" s="48"/>
      <c r="C565" s="62"/>
      <c r="D565" s="7"/>
      <c r="E565" s="58"/>
      <c r="F565" s="36"/>
    </row>
    <row r="566" spans="1:6" ht="21">
      <c r="A566" s="19">
        <v>576</v>
      </c>
      <c r="B566" s="48"/>
      <c r="C566" s="62"/>
      <c r="D566" s="7"/>
      <c r="E566" s="58"/>
      <c r="F566" s="36"/>
    </row>
    <row r="567" spans="1:6" ht="21">
      <c r="A567" s="19">
        <v>577</v>
      </c>
      <c r="B567" s="48"/>
      <c r="C567" s="62"/>
      <c r="D567" s="7"/>
      <c r="E567" s="58"/>
      <c r="F567" s="36"/>
    </row>
    <row r="568" spans="1:6" ht="21">
      <c r="A568" s="19">
        <v>578</v>
      </c>
      <c r="B568" s="48"/>
      <c r="C568" s="62"/>
      <c r="D568" s="7"/>
      <c r="E568" s="58"/>
      <c r="F568" s="36"/>
    </row>
    <row r="569" spans="1:6" ht="21">
      <c r="A569" s="19">
        <v>579</v>
      </c>
      <c r="B569" s="48"/>
      <c r="C569" s="62"/>
      <c r="D569" s="7"/>
      <c r="E569" s="58"/>
      <c r="F569" s="36"/>
    </row>
    <row r="570" spans="1:6" ht="21">
      <c r="A570" s="19">
        <v>580</v>
      </c>
      <c r="B570" s="48"/>
      <c r="C570" s="62"/>
      <c r="D570" s="7"/>
      <c r="E570" s="58"/>
      <c r="F570" s="36"/>
    </row>
    <row r="571" spans="1:6" ht="21">
      <c r="A571" s="19">
        <v>581</v>
      </c>
      <c r="B571" s="48"/>
      <c r="C571" s="62"/>
      <c r="D571" s="7"/>
      <c r="E571" s="58"/>
      <c r="F571" s="36"/>
    </row>
    <row r="572" spans="1:6" ht="21">
      <c r="A572" s="19">
        <v>582</v>
      </c>
      <c r="B572" s="48"/>
      <c r="C572" s="62"/>
      <c r="D572" s="7"/>
      <c r="E572" s="58"/>
      <c r="F572" s="36"/>
    </row>
    <row r="573" spans="1:6" ht="21">
      <c r="A573" s="19">
        <v>583</v>
      </c>
      <c r="B573" s="48"/>
      <c r="C573" s="62"/>
      <c r="D573" s="7"/>
      <c r="E573" s="58"/>
      <c r="F573" s="36"/>
    </row>
    <row r="574" spans="1:6" ht="21">
      <c r="A574" s="19">
        <v>584</v>
      </c>
      <c r="B574" s="48"/>
      <c r="C574" s="62"/>
      <c r="D574" s="7"/>
      <c r="E574" s="58"/>
      <c r="F574" s="36"/>
    </row>
    <row r="575" spans="1:6" ht="21">
      <c r="A575" s="19">
        <v>585</v>
      </c>
      <c r="B575" s="48"/>
      <c r="C575" s="62"/>
      <c r="D575" s="7"/>
      <c r="E575" s="58"/>
      <c r="F575" s="36"/>
    </row>
    <row r="576" spans="1:6" ht="21">
      <c r="A576" s="19">
        <v>586</v>
      </c>
      <c r="B576" s="48"/>
      <c r="C576" s="62"/>
      <c r="D576" s="7"/>
      <c r="E576" s="58"/>
      <c r="F576" s="36"/>
    </row>
    <row r="577" spans="1:6" ht="21">
      <c r="A577" s="19">
        <v>587</v>
      </c>
      <c r="B577" s="48"/>
      <c r="C577" s="62"/>
      <c r="D577" s="7"/>
      <c r="E577" s="58"/>
      <c r="F577" s="36"/>
    </row>
    <row r="578" spans="1:6" ht="21">
      <c r="A578" s="19">
        <v>588</v>
      </c>
      <c r="B578" s="48"/>
      <c r="C578" s="62"/>
      <c r="D578" s="7"/>
      <c r="E578" s="58"/>
      <c r="F578" s="36"/>
    </row>
    <row r="579" spans="1:6" ht="21">
      <c r="A579" s="19">
        <v>589</v>
      </c>
      <c r="B579" s="48"/>
      <c r="C579" s="62"/>
      <c r="D579" s="7"/>
      <c r="E579" s="58"/>
      <c r="F579" s="36"/>
    </row>
    <row r="580" spans="1:6" ht="21">
      <c r="A580" s="19">
        <v>590</v>
      </c>
      <c r="B580" s="48"/>
      <c r="C580" s="62"/>
      <c r="D580" s="7"/>
      <c r="E580" s="58"/>
      <c r="F580" s="36"/>
    </row>
    <row r="581" spans="1:6" ht="21">
      <c r="A581" s="19">
        <v>591</v>
      </c>
      <c r="B581" s="48"/>
      <c r="C581" s="62"/>
      <c r="D581" s="7"/>
      <c r="E581" s="58"/>
      <c r="F581" s="36"/>
    </row>
    <row r="582" spans="1:6" ht="21">
      <c r="A582" s="19">
        <v>592</v>
      </c>
      <c r="B582" s="48"/>
      <c r="C582" s="62"/>
      <c r="D582" s="7"/>
      <c r="E582" s="58"/>
      <c r="F582" s="36"/>
    </row>
    <row r="583" spans="1:6" ht="21">
      <c r="A583" s="19">
        <v>593</v>
      </c>
      <c r="B583" s="48"/>
      <c r="C583" s="62"/>
      <c r="D583" s="7"/>
      <c r="E583" s="58"/>
      <c r="F583" s="36"/>
    </row>
    <row r="584" spans="1:6" ht="21">
      <c r="A584" s="19">
        <v>594</v>
      </c>
      <c r="B584" s="48"/>
      <c r="C584" s="62"/>
      <c r="D584" s="7"/>
      <c r="E584" s="58"/>
      <c r="F584" s="36"/>
    </row>
    <row r="585" spans="1:6" ht="21">
      <c r="A585" s="19">
        <v>595</v>
      </c>
      <c r="B585" s="48"/>
      <c r="C585" s="62"/>
      <c r="D585" s="7"/>
      <c r="E585" s="58"/>
      <c r="F585" s="36"/>
    </row>
    <row r="586" spans="1:6" ht="21">
      <c r="A586" s="19">
        <v>596</v>
      </c>
      <c r="B586" s="48"/>
      <c r="C586" s="62"/>
      <c r="D586" s="7"/>
      <c r="E586" s="58"/>
      <c r="F586" s="36"/>
    </row>
    <row r="587" spans="1:6" ht="21">
      <c r="A587" s="19">
        <v>597</v>
      </c>
      <c r="B587" s="48"/>
      <c r="C587" s="62"/>
      <c r="D587" s="7"/>
      <c r="E587" s="58"/>
      <c r="F587" s="36"/>
    </row>
    <row r="588" spans="1:6" ht="21">
      <c r="A588" s="19">
        <v>598</v>
      </c>
      <c r="B588" s="48"/>
      <c r="C588" s="62"/>
      <c r="D588" s="7"/>
      <c r="E588" s="58"/>
      <c r="F588" s="36"/>
    </row>
    <row r="589" spans="1:6" ht="21">
      <c r="A589" s="19">
        <v>599</v>
      </c>
      <c r="B589" s="48"/>
      <c r="C589" s="62"/>
      <c r="D589" s="7"/>
      <c r="E589" s="58"/>
      <c r="F589" s="36"/>
    </row>
    <row r="590" spans="1:6" ht="21">
      <c r="A590" s="19">
        <v>600</v>
      </c>
      <c r="B590" s="48"/>
      <c r="C590" s="62"/>
      <c r="D590" s="7"/>
      <c r="E590" s="58"/>
      <c r="F590" s="36"/>
    </row>
    <row r="591" spans="1:6" ht="21">
      <c r="A591" s="19">
        <v>601</v>
      </c>
      <c r="B591" s="48"/>
      <c r="C591" s="62"/>
      <c r="D591" s="7"/>
      <c r="E591" s="58"/>
      <c r="F591" s="36"/>
    </row>
    <row r="592" spans="1:6" ht="21">
      <c r="A592" s="19">
        <v>602</v>
      </c>
      <c r="B592" s="48"/>
      <c r="C592" s="62"/>
      <c r="D592" s="7"/>
      <c r="E592" s="58"/>
      <c r="F592" s="36"/>
    </row>
    <row r="593" spans="1:6" ht="21">
      <c r="A593" s="19">
        <v>603</v>
      </c>
      <c r="B593" s="48"/>
      <c r="C593" s="62"/>
      <c r="D593" s="7"/>
      <c r="E593" s="58"/>
      <c r="F593" s="36"/>
    </row>
    <row r="594" spans="1:6" ht="21">
      <c r="A594" s="19">
        <v>604</v>
      </c>
      <c r="B594" s="48"/>
      <c r="C594" s="62"/>
      <c r="D594" s="7"/>
      <c r="E594" s="58"/>
      <c r="F594" s="36"/>
    </row>
    <row r="595" spans="1:6" ht="21">
      <c r="A595" s="19">
        <v>605</v>
      </c>
      <c r="B595" s="48"/>
      <c r="C595" s="62"/>
      <c r="D595" s="7"/>
      <c r="E595" s="58"/>
      <c r="F595" s="36"/>
    </row>
    <row r="596" spans="1:6" ht="21">
      <c r="A596" s="19">
        <v>606</v>
      </c>
      <c r="B596" s="48"/>
      <c r="C596" s="62"/>
      <c r="D596" s="7"/>
      <c r="E596" s="58"/>
      <c r="F596" s="36"/>
    </row>
    <row r="597" spans="1:6" ht="21">
      <c r="A597" s="19">
        <v>607</v>
      </c>
      <c r="B597" s="48"/>
      <c r="C597" s="62"/>
      <c r="D597" s="7"/>
      <c r="E597" s="58"/>
      <c r="F597" s="36"/>
    </row>
    <row r="598" spans="1:6" ht="21">
      <c r="A598" s="19">
        <v>608</v>
      </c>
      <c r="B598" s="48"/>
      <c r="C598" s="62"/>
      <c r="D598" s="7"/>
      <c r="E598" s="58"/>
      <c r="F598" s="36"/>
    </row>
    <row r="599" spans="1:6" ht="21">
      <c r="A599" s="19">
        <v>609</v>
      </c>
      <c r="B599" s="48"/>
      <c r="C599" s="62"/>
      <c r="D599" s="7"/>
      <c r="E599" s="58"/>
      <c r="F599" s="36"/>
    </row>
    <row r="600" spans="1:6" ht="21">
      <c r="A600" s="19">
        <v>610</v>
      </c>
      <c r="B600" s="48"/>
      <c r="C600" s="62"/>
      <c r="D600" s="7"/>
      <c r="E600" s="58"/>
      <c r="F600" s="36"/>
    </row>
    <row r="601" spans="1:6" ht="21">
      <c r="A601" s="19">
        <v>611</v>
      </c>
      <c r="B601" s="48"/>
      <c r="C601" s="62"/>
      <c r="D601" s="7"/>
      <c r="E601" s="58"/>
      <c r="F601" s="36"/>
    </row>
    <row r="602" spans="1:6" ht="21">
      <c r="A602" s="19">
        <v>612</v>
      </c>
      <c r="B602" s="48"/>
      <c r="C602" s="5"/>
      <c r="D602" s="7"/>
      <c r="E602" s="60"/>
      <c r="F602" s="37"/>
    </row>
    <row r="603" spans="1:6" ht="21">
      <c r="A603" s="19">
        <v>613</v>
      </c>
      <c r="B603" s="48"/>
      <c r="C603" s="5"/>
      <c r="D603" s="7"/>
      <c r="E603" s="60"/>
      <c r="F603" s="37"/>
    </row>
    <row r="604" spans="1:6" ht="21">
      <c r="A604" s="19">
        <v>614</v>
      </c>
      <c r="B604" s="47"/>
      <c r="C604" s="5"/>
      <c r="D604" s="7"/>
      <c r="E604" s="60"/>
      <c r="F604" s="37"/>
    </row>
    <row r="605" spans="1:6" ht="21">
      <c r="A605" s="19">
        <v>615</v>
      </c>
      <c r="B605" s="48"/>
      <c r="C605" s="5"/>
      <c r="D605" s="7"/>
      <c r="E605" s="60"/>
      <c r="F605" s="37"/>
    </row>
    <row r="606" spans="1:6" ht="21">
      <c r="A606" s="19">
        <v>616</v>
      </c>
      <c r="B606" s="48"/>
      <c r="C606" s="5"/>
      <c r="D606" s="7"/>
      <c r="E606" s="60"/>
      <c r="F606" s="37"/>
    </row>
    <row r="607" spans="1:6" ht="21">
      <c r="A607" s="19">
        <v>617</v>
      </c>
      <c r="B607" s="48"/>
      <c r="C607" s="5"/>
      <c r="D607" s="7"/>
      <c r="E607" s="60"/>
      <c r="F607" s="37"/>
    </row>
    <row r="608" spans="1:6" ht="21">
      <c r="A608" s="19">
        <v>618</v>
      </c>
      <c r="B608" s="47"/>
      <c r="C608" s="5"/>
      <c r="D608" s="7"/>
      <c r="E608" s="60"/>
      <c r="F608" s="37"/>
    </row>
    <row r="609" spans="1:6" ht="21">
      <c r="A609" s="19">
        <v>619</v>
      </c>
      <c r="B609" s="48"/>
      <c r="C609" s="5"/>
      <c r="D609" s="7"/>
      <c r="E609" s="60"/>
      <c r="F609" s="37"/>
    </row>
    <row r="610" spans="1:6" ht="21">
      <c r="A610" s="19">
        <v>620</v>
      </c>
      <c r="B610" s="48"/>
      <c r="C610" s="5"/>
      <c r="D610" s="7"/>
      <c r="E610" s="60"/>
      <c r="F610" s="37"/>
    </row>
    <row r="611" spans="1:6" ht="21">
      <c r="A611" s="19">
        <v>621</v>
      </c>
      <c r="B611" s="48"/>
      <c r="C611" s="5"/>
      <c r="D611" s="7"/>
      <c r="E611" s="60"/>
      <c r="F611" s="37"/>
    </row>
    <row r="612" spans="1:6" ht="21">
      <c r="A612" s="19">
        <v>622</v>
      </c>
      <c r="B612" s="50"/>
      <c r="C612" s="5"/>
      <c r="D612" s="7"/>
      <c r="E612" s="60"/>
      <c r="F612" s="37"/>
    </row>
    <row r="613" spans="1:6" ht="21">
      <c r="A613" s="19">
        <v>623</v>
      </c>
      <c r="B613" s="47"/>
      <c r="C613" s="5"/>
      <c r="D613" s="7"/>
      <c r="E613" s="60"/>
      <c r="F613" s="37"/>
    </row>
    <row r="614" spans="1:6" ht="21">
      <c r="A614" s="19">
        <v>624</v>
      </c>
      <c r="B614" s="48"/>
      <c r="C614" s="5"/>
      <c r="D614" s="7"/>
      <c r="E614" s="60"/>
      <c r="F614" s="37"/>
    </row>
    <row r="615" spans="1:6" ht="21">
      <c r="A615" s="19">
        <v>625</v>
      </c>
      <c r="B615" s="48"/>
      <c r="C615" s="5"/>
      <c r="D615" s="7"/>
      <c r="E615" s="60"/>
      <c r="F615" s="37"/>
    </row>
    <row r="616" spans="1:6" ht="21">
      <c r="A616" s="19">
        <v>626</v>
      </c>
      <c r="B616" s="48"/>
      <c r="C616" s="5"/>
      <c r="D616" s="7"/>
      <c r="E616" s="60"/>
      <c r="F616" s="37"/>
    </row>
    <row r="617" spans="1:6" ht="21">
      <c r="A617" s="19">
        <v>627</v>
      </c>
      <c r="B617" s="50"/>
      <c r="C617" s="5"/>
      <c r="D617" s="7"/>
      <c r="E617" s="60"/>
      <c r="F617" s="37"/>
    </row>
    <row r="618" spans="1:6" ht="21">
      <c r="A618" s="19">
        <v>628</v>
      </c>
      <c r="B618" s="48"/>
      <c r="C618" s="5"/>
      <c r="D618" s="7"/>
      <c r="E618" s="60"/>
      <c r="F618" s="37"/>
    </row>
    <row r="619" spans="1:6" ht="21">
      <c r="A619" s="19">
        <v>629</v>
      </c>
      <c r="B619" s="48"/>
      <c r="C619" s="5"/>
      <c r="D619" s="7"/>
      <c r="E619" s="60"/>
      <c r="F619" s="37"/>
    </row>
    <row r="620" spans="1:6" ht="21">
      <c r="A620" s="19">
        <v>630</v>
      </c>
      <c r="B620" s="48"/>
      <c r="C620" s="5"/>
      <c r="D620" s="7"/>
      <c r="E620" s="60"/>
      <c r="F620" s="37"/>
    </row>
    <row r="621" spans="1:6" ht="21">
      <c r="A621" s="19">
        <v>631</v>
      </c>
      <c r="B621" s="48"/>
      <c r="C621" s="5"/>
      <c r="D621" s="7"/>
      <c r="E621" s="60"/>
      <c r="F621" s="37"/>
    </row>
    <row r="622" spans="1:6" ht="21">
      <c r="A622" s="19">
        <v>632</v>
      </c>
      <c r="B622" s="48"/>
      <c r="C622" s="5"/>
      <c r="D622" s="7"/>
      <c r="E622" s="60"/>
      <c r="F622" s="37"/>
    </row>
    <row r="623" spans="1:6" ht="21">
      <c r="A623" s="19">
        <v>633</v>
      </c>
      <c r="B623" s="20"/>
      <c r="C623" s="5"/>
      <c r="D623" s="7"/>
      <c r="E623" s="60"/>
      <c r="F623" s="37"/>
    </row>
    <row r="624" spans="1:6" ht="21">
      <c r="A624" s="19">
        <v>634</v>
      </c>
      <c r="B624" s="20"/>
      <c r="C624" s="5"/>
      <c r="D624" s="7"/>
      <c r="E624" s="60"/>
      <c r="F624" s="37"/>
    </row>
    <row r="625" spans="1:6" ht="21">
      <c r="A625" s="19">
        <v>635</v>
      </c>
      <c r="B625" s="20"/>
      <c r="C625" s="5"/>
      <c r="D625" s="7"/>
      <c r="E625" s="60"/>
      <c r="F625" s="37"/>
    </row>
    <row r="626" spans="1:6" ht="21">
      <c r="A626" s="19">
        <v>636</v>
      </c>
      <c r="B626" s="20"/>
      <c r="C626" s="5"/>
      <c r="D626" s="7"/>
      <c r="E626" s="60"/>
      <c r="F626" s="37"/>
    </row>
    <row r="627" spans="1:6" ht="21">
      <c r="A627" s="19">
        <v>637</v>
      </c>
      <c r="B627" s="20"/>
      <c r="C627" s="5"/>
      <c r="D627" s="7"/>
      <c r="E627" s="60"/>
      <c r="F627" s="37"/>
    </row>
    <row r="628" spans="1:6" ht="21">
      <c r="A628" s="19">
        <v>638</v>
      </c>
      <c r="B628" s="20"/>
      <c r="C628" s="5"/>
      <c r="D628" s="7"/>
      <c r="E628" s="60"/>
      <c r="F628" s="37"/>
    </row>
    <row r="629" spans="1:6" ht="21">
      <c r="A629" s="19">
        <v>639</v>
      </c>
      <c r="B629" s="20"/>
      <c r="C629" s="5"/>
      <c r="D629" s="7"/>
      <c r="E629" s="60"/>
      <c r="F629" s="37"/>
    </row>
    <row r="630" spans="1:6" ht="21">
      <c r="A630" s="19">
        <v>640</v>
      </c>
      <c r="B630" s="20"/>
      <c r="C630" s="5"/>
      <c r="D630" s="7"/>
      <c r="E630" s="60"/>
      <c r="F630" s="37"/>
    </row>
    <row r="631" spans="1:6" ht="21">
      <c r="A631" s="19">
        <v>641</v>
      </c>
      <c r="B631" s="20"/>
      <c r="C631" s="5"/>
      <c r="D631" s="7"/>
      <c r="E631" s="60"/>
      <c r="F631" s="37"/>
    </row>
    <row r="632" spans="1:6" ht="21">
      <c r="A632" s="19">
        <v>642</v>
      </c>
      <c r="B632" s="47"/>
      <c r="C632" s="5"/>
      <c r="D632" s="7"/>
      <c r="E632" s="60"/>
      <c r="F632" s="37"/>
    </row>
    <row r="633" spans="1:6" ht="21">
      <c r="A633" s="19">
        <v>643</v>
      </c>
      <c r="B633" s="48"/>
      <c r="C633" s="5"/>
      <c r="D633" s="7"/>
      <c r="E633" s="60"/>
      <c r="F633" s="37"/>
    </row>
    <row r="634" spans="1:6" ht="21">
      <c r="A634" s="19">
        <v>644</v>
      </c>
      <c r="B634" s="20"/>
      <c r="C634" s="5"/>
      <c r="D634" s="7"/>
      <c r="E634" s="60"/>
      <c r="F634" s="37"/>
    </row>
    <row r="635" spans="1:6" ht="21">
      <c r="A635" s="19">
        <v>645</v>
      </c>
      <c r="B635" s="20"/>
      <c r="C635" s="5"/>
      <c r="D635" s="7"/>
      <c r="E635" s="60"/>
      <c r="F635" s="37"/>
    </row>
    <row r="636" spans="1:6" ht="21">
      <c r="A636" s="19">
        <v>646</v>
      </c>
      <c r="B636" s="20"/>
      <c r="C636" s="5"/>
      <c r="D636" s="7"/>
      <c r="E636" s="60"/>
      <c r="F636" s="37"/>
    </row>
    <row r="637" spans="1:6" ht="21">
      <c r="A637" s="19">
        <v>647</v>
      </c>
      <c r="B637" s="20"/>
      <c r="C637" s="5"/>
      <c r="D637" s="7"/>
      <c r="E637" s="60"/>
      <c r="F637" s="37"/>
    </row>
    <row r="638" spans="1:6" ht="21">
      <c r="A638" s="19">
        <v>648</v>
      </c>
      <c r="B638" s="20"/>
      <c r="C638" s="5"/>
      <c r="D638" s="7"/>
      <c r="E638" s="60"/>
      <c r="F638" s="37"/>
    </row>
    <row r="639" spans="1:6" ht="21">
      <c r="A639" s="19">
        <v>649</v>
      </c>
      <c r="B639" s="20"/>
      <c r="C639" s="5"/>
      <c r="D639" s="7"/>
      <c r="E639" s="60"/>
      <c r="F639" s="37"/>
    </row>
    <row r="640" spans="1:6" ht="21">
      <c r="A640" s="19">
        <v>650</v>
      </c>
      <c r="B640" s="20"/>
      <c r="C640" s="5"/>
      <c r="D640" s="7"/>
      <c r="E640" s="60"/>
      <c r="F640" s="37"/>
    </row>
    <row r="641" spans="1:6" ht="21">
      <c r="A641" s="19">
        <v>651</v>
      </c>
      <c r="B641" s="49"/>
      <c r="C641" s="5"/>
      <c r="D641" s="7"/>
      <c r="E641" s="60"/>
      <c r="F641" s="37"/>
    </row>
    <row r="642" spans="1:6" ht="21">
      <c r="A642" s="19">
        <v>652</v>
      </c>
      <c r="B642" s="20"/>
      <c r="C642" s="5"/>
      <c r="D642" s="7"/>
      <c r="E642" s="60"/>
      <c r="F642" s="37"/>
    </row>
    <row r="643" spans="1:6" ht="21">
      <c r="A643" s="19">
        <v>653</v>
      </c>
      <c r="B643" s="20"/>
      <c r="C643" s="5"/>
      <c r="D643" s="7"/>
      <c r="E643" s="60"/>
      <c r="F643" s="37"/>
    </row>
    <row r="644" spans="1:6" ht="21">
      <c r="A644" s="19">
        <v>654</v>
      </c>
      <c r="B644" s="20"/>
      <c r="C644" s="5"/>
      <c r="D644" s="7"/>
      <c r="E644" s="60"/>
      <c r="F644" s="37"/>
    </row>
    <row r="645" spans="1:6" ht="21">
      <c r="A645" s="19">
        <v>655</v>
      </c>
      <c r="B645" s="20"/>
      <c r="C645" s="5"/>
      <c r="D645" s="7"/>
      <c r="E645" s="60"/>
      <c r="F645" s="37"/>
    </row>
    <row r="646" spans="1:6" ht="21">
      <c r="A646" s="19">
        <v>656</v>
      </c>
      <c r="B646" s="20"/>
      <c r="C646" s="5"/>
      <c r="D646" s="7"/>
      <c r="E646" s="60"/>
      <c r="F646" s="37"/>
    </row>
    <row r="647" spans="1:6" ht="21">
      <c r="A647" s="19">
        <v>657</v>
      </c>
      <c r="B647" s="20"/>
      <c r="C647" s="5"/>
      <c r="D647" s="7"/>
      <c r="E647" s="60"/>
      <c r="F647" s="37"/>
    </row>
    <row r="648" spans="1:6" ht="21">
      <c r="A648" s="19">
        <v>658</v>
      </c>
      <c r="B648" s="20"/>
      <c r="C648" s="5"/>
      <c r="D648" s="7"/>
      <c r="E648" s="60"/>
      <c r="F648" s="37"/>
    </row>
    <row r="649" spans="1:6" ht="21">
      <c r="A649" s="19">
        <v>659</v>
      </c>
      <c r="B649" s="20"/>
      <c r="C649" s="5"/>
      <c r="D649" s="7"/>
      <c r="E649" s="60"/>
      <c r="F649" s="37"/>
    </row>
    <row r="650" spans="1:6" ht="21">
      <c r="A650" s="19">
        <v>660</v>
      </c>
      <c r="B650" s="49"/>
      <c r="C650" s="5"/>
      <c r="D650" s="7"/>
      <c r="E650" s="60"/>
      <c r="F650" s="37"/>
    </row>
    <row r="651" spans="1:6" ht="21">
      <c r="A651" s="19">
        <v>661</v>
      </c>
      <c r="B651" s="20"/>
      <c r="C651" s="5"/>
      <c r="D651" s="7"/>
      <c r="E651" s="60"/>
      <c r="F651" s="37"/>
    </row>
    <row r="652" spans="1:6" ht="21">
      <c r="A652" s="19">
        <v>662</v>
      </c>
      <c r="B652" s="20"/>
      <c r="C652" s="5"/>
      <c r="D652" s="7"/>
      <c r="E652" s="60"/>
      <c r="F652" s="37"/>
    </row>
    <row r="653" spans="1:6" ht="21">
      <c r="A653" s="19">
        <v>663</v>
      </c>
      <c r="B653" s="20"/>
      <c r="C653" s="5"/>
      <c r="D653" s="7"/>
      <c r="E653" s="60"/>
      <c r="F653" s="37"/>
    </row>
    <row r="654" spans="1:6" ht="21">
      <c r="A654" s="19">
        <v>664</v>
      </c>
      <c r="B654" s="20"/>
      <c r="C654" s="5"/>
      <c r="D654" s="7"/>
      <c r="E654" s="60"/>
      <c r="F654" s="37"/>
    </row>
    <row r="655" spans="1:6" ht="21">
      <c r="A655" s="19">
        <v>665</v>
      </c>
      <c r="B655" s="20"/>
      <c r="C655" s="5"/>
      <c r="D655" s="7"/>
      <c r="E655" s="60"/>
      <c r="F655" s="37"/>
    </row>
    <row r="656" spans="1:6" ht="21">
      <c r="A656" s="19">
        <v>666</v>
      </c>
      <c r="B656" s="20"/>
      <c r="C656" s="5"/>
      <c r="D656" s="7"/>
      <c r="E656" s="60"/>
      <c r="F656" s="37"/>
    </row>
    <row r="657" spans="1:6" ht="21">
      <c r="A657" s="19">
        <v>667</v>
      </c>
      <c r="B657" s="48"/>
      <c r="C657" s="5"/>
      <c r="D657" s="7"/>
      <c r="E657" s="60"/>
      <c r="F657" s="37"/>
    </row>
    <row r="658" spans="1:6" ht="21">
      <c r="A658" s="19">
        <v>668</v>
      </c>
      <c r="B658" s="6"/>
      <c r="C658" s="5"/>
      <c r="D658" s="7"/>
      <c r="E658" s="60"/>
      <c r="F658" s="37"/>
    </row>
    <row r="659" spans="1:6" ht="21">
      <c r="A659" s="19">
        <v>669</v>
      </c>
      <c r="B659" s="6"/>
      <c r="C659" s="5"/>
      <c r="D659" s="7"/>
      <c r="E659" s="60"/>
      <c r="F659" s="37"/>
    </row>
    <row r="660" spans="1:6" ht="21">
      <c r="A660" s="19">
        <v>670</v>
      </c>
      <c r="B660" s="6"/>
      <c r="C660" s="5"/>
      <c r="D660" s="7"/>
      <c r="E660" s="60"/>
      <c r="F660" s="37"/>
    </row>
    <row r="661" spans="1:6" ht="21">
      <c r="A661" s="19">
        <v>671</v>
      </c>
      <c r="B661" s="6"/>
      <c r="C661" s="5"/>
      <c r="D661" s="7"/>
      <c r="E661" s="60"/>
      <c r="F661" s="37"/>
    </row>
    <row r="662" spans="1:6" ht="21">
      <c r="A662" s="19">
        <v>672</v>
      </c>
      <c r="B662" s="6"/>
      <c r="C662" s="5"/>
      <c r="D662" s="7"/>
      <c r="E662" s="60"/>
      <c r="F662" s="37"/>
    </row>
    <row r="663" spans="1:6" ht="21">
      <c r="A663" s="19">
        <v>673</v>
      </c>
      <c r="B663" s="6"/>
      <c r="C663" s="5"/>
      <c r="D663" s="7"/>
      <c r="E663" s="60"/>
      <c r="F663" s="37"/>
    </row>
    <row r="664" spans="1:6" ht="21">
      <c r="A664" s="19">
        <v>674</v>
      </c>
      <c r="B664" s="6"/>
      <c r="C664" s="5"/>
      <c r="D664" s="7"/>
      <c r="E664" s="60"/>
      <c r="F664" s="37"/>
    </row>
    <row r="665" spans="1:6" ht="21">
      <c r="A665" s="19">
        <v>675</v>
      </c>
      <c r="B665" s="6"/>
      <c r="C665" s="5"/>
      <c r="D665" s="7"/>
      <c r="E665" s="60"/>
      <c r="F665" s="37"/>
    </row>
    <row r="666" spans="1:6" ht="21">
      <c r="A666" s="19">
        <v>676</v>
      </c>
      <c r="B666" s="6"/>
      <c r="C666" s="5"/>
      <c r="D666" s="7"/>
      <c r="E666" s="60"/>
      <c r="F666" s="37"/>
    </row>
    <row r="667" spans="1:6" ht="21">
      <c r="A667" s="19">
        <v>677</v>
      </c>
      <c r="B667" s="6"/>
      <c r="C667" s="5"/>
      <c r="D667" s="7"/>
      <c r="E667" s="60"/>
      <c r="F667" s="37"/>
    </row>
    <row r="668" spans="1:6" ht="21">
      <c r="A668" s="19">
        <v>678</v>
      </c>
      <c r="B668" s="6"/>
      <c r="C668" s="5"/>
      <c r="D668" s="7"/>
      <c r="E668" s="60"/>
      <c r="F668" s="37"/>
    </row>
    <row r="669" spans="1:6" ht="21">
      <c r="A669" s="19">
        <v>679</v>
      </c>
      <c r="B669" s="6"/>
      <c r="C669" s="5"/>
      <c r="D669" s="7"/>
      <c r="E669" s="60"/>
      <c r="F669" s="37"/>
    </row>
    <row r="670" spans="1:6" ht="21">
      <c r="A670" s="19">
        <v>680</v>
      </c>
      <c r="B670" s="6"/>
      <c r="C670" s="5"/>
      <c r="D670" s="7"/>
      <c r="E670" s="60"/>
      <c r="F670" s="37"/>
    </row>
    <row r="671" spans="1:6" ht="21">
      <c r="A671" s="19">
        <v>681</v>
      </c>
      <c r="B671" s="6"/>
      <c r="C671" s="5"/>
      <c r="D671" s="7"/>
      <c r="E671" s="60"/>
      <c r="F671" s="37"/>
    </row>
    <row r="672" spans="1:6" ht="21">
      <c r="A672" s="19">
        <v>682</v>
      </c>
      <c r="B672" s="6"/>
      <c r="C672" s="5"/>
      <c r="D672" s="7"/>
      <c r="E672" s="60"/>
      <c r="F672" s="37"/>
    </row>
    <row r="673" spans="1:6" ht="21">
      <c r="A673" s="19">
        <v>683</v>
      </c>
      <c r="B673" s="6"/>
      <c r="C673" s="5"/>
      <c r="D673" s="7"/>
      <c r="E673" s="60"/>
      <c r="F673" s="37"/>
    </row>
    <row r="674" spans="1:6" ht="21">
      <c r="A674" s="19">
        <v>684</v>
      </c>
      <c r="B674" s="6"/>
      <c r="C674" s="5"/>
      <c r="D674" s="7"/>
      <c r="E674" s="60"/>
      <c r="F674" s="37"/>
    </row>
    <row r="675" spans="1:6" ht="21">
      <c r="A675" s="19">
        <v>685</v>
      </c>
      <c r="B675" s="6"/>
      <c r="C675" s="5"/>
      <c r="D675" s="7"/>
      <c r="E675" s="60"/>
      <c r="F675" s="37"/>
    </row>
    <row r="676" spans="1:6" ht="21">
      <c r="A676" s="19">
        <v>686</v>
      </c>
      <c r="B676" s="6"/>
      <c r="C676" s="5"/>
      <c r="D676" s="7"/>
      <c r="E676" s="60"/>
      <c r="F676" s="37"/>
    </row>
    <row r="677" spans="1:6" ht="21">
      <c r="A677" s="19">
        <v>687</v>
      </c>
      <c r="B677" s="6"/>
      <c r="C677" s="5"/>
      <c r="D677" s="7"/>
      <c r="E677" s="60"/>
      <c r="F677" s="37"/>
    </row>
    <row r="678" spans="1:6" ht="21">
      <c r="A678" s="19">
        <v>688</v>
      </c>
      <c r="B678" s="6"/>
      <c r="C678" s="5"/>
      <c r="D678" s="7"/>
      <c r="E678" s="60"/>
      <c r="F678" s="37"/>
    </row>
    <row r="679" spans="1:6" ht="21">
      <c r="A679" s="19">
        <v>689</v>
      </c>
      <c r="B679" s="6"/>
      <c r="C679" s="5"/>
      <c r="D679" s="7"/>
      <c r="E679" s="60"/>
      <c r="F679" s="37"/>
    </row>
    <row r="680" spans="1:6" ht="21">
      <c r="A680" s="19">
        <v>690</v>
      </c>
      <c r="B680" s="6"/>
      <c r="C680" s="5"/>
      <c r="D680" s="7"/>
      <c r="E680" s="60"/>
      <c r="F680" s="37"/>
    </row>
    <row r="681" spans="1:6" ht="21">
      <c r="A681" s="19">
        <v>691</v>
      </c>
      <c r="B681" s="6"/>
      <c r="C681" s="5"/>
      <c r="D681" s="7"/>
      <c r="E681" s="60"/>
      <c r="F681" s="37"/>
    </row>
    <row r="682" spans="1:6" ht="21">
      <c r="A682" s="19">
        <v>692</v>
      </c>
      <c r="B682" s="6"/>
      <c r="C682" s="5"/>
      <c r="D682" s="7"/>
      <c r="E682" s="60"/>
      <c r="F682" s="37"/>
    </row>
    <row r="683" spans="1:6" ht="21">
      <c r="A683" s="19">
        <v>693</v>
      </c>
      <c r="B683" s="6"/>
      <c r="C683" s="5"/>
      <c r="D683" s="7"/>
      <c r="E683" s="60"/>
      <c r="F683" s="37"/>
    </row>
    <row r="684" spans="1:6" ht="21">
      <c r="A684" s="19">
        <v>694</v>
      </c>
      <c r="B684" s="6"/>
      <c r="C684" s="5"/>
      <c r="D684" s="7"/>
      <c r="E684" s="60"/>
      <c r="F684" s="37"/>
    </row>
    <row r="685" spans="1:6" ht="21">
      <c r="A685" s="19">
        <v>695</v>
      </c>
      <c r="B685" s="6"/>
      <c r="C685" s="5"/>
      <c r="D685" s="7"/>
      <c r="E685" s="60"/>
      <c r="F685" s="37"/>
    </row>
    <row r="686" spans="1:6" ht="21">
      <c r="A686" s="19">
        <v>696</v>
      </c>
      <c r="B686" s="6"/>
      <c r="C686" s="5"/>
      <c r="D686" s="7"/>
      <c r="E686" s="60"/>
      <c r="F686" s="37"/>
    </row>
    <row r="687" spans="1:6" ht="21">
      <c r="A687" s="19">
        <v>697</v>
      </c>
      <c r="B687" s="6"/>
      <c r="C687" s="5"/>
      <c r="D687" s="7"/>
      <c r="E687" s="60"/>
      <c r="F687" s="37"/>
    </row>
    <row r="688" spans="1:6" ht="21">
      <c r="A688" s="19">
        <v>698</v>
      </c>
      <c r="B688" s="6"/>
      <c r="C688" s="5"/>
      <c r="D688" s="7"/>
      <c r="E688" s="60"/>
      <c r="F688" s="37"/>
    </row>
    <row r="689" spans="1:6" ht="21">
      <c r="A689" s="19">
        <v>699</v>
      </c>
      <c r="B689" s="6"/>
      <c r="C689" s="5"/>
      <c r="D689" s="7"/>
      <c r="E689" s="60"/>
      <c r="F689" s="37"/>
    </row>
    <row r="690" spans="1:6" ht="21">
      <c r="A690" s="19">
        <v>700</v>
      </c>
      <c r="B690" s="6"/>
      <c r="C690" s="5"/>
      <c r="D690" s="7"/>
      <c r="E690" s="60"/>
      <c r="F690" s="37"/>
    </row>
    <row r="691" spans="1:6" ht="21">
      <c r="A691" s="19">
        <v>701</v>
      </c>
      <c r="B691" s="6"/>
      <c r="C691" s="5"/>
      <c r="D691" s="7"/>
      <c r="E691" s="60"/>
      <c r="F691" s="37"/>
    </row>
    <row r="692" spans="1:6" ht="21">
      <c r="A692" s="19">
        <v>702</v>
      </c>
      <c r="B692" s="6"/>
      <c r="C692" s="5"/>
      <c r="D692" s="7"/>
      <c r="E692" s="60"/>
      <c r="F692" s="37"/>
    </row>
    <row r="693" spans="1:6" ht="21">
      <c r="A693" s="19">
        <v>703</v>
      </c>
      <c r="B693" s="6"/>
      <c r="C693" s="5"/>
      <c r="D693" s="7"/>
      <c r="E693" s="60"/>
      <c r="F693" s="37"/>
    </row>
    <row r="694" spans="1:6" ht="21">
      <c r="A694" s="19">
        <v>704</v>
      </c>
      <c r="B694" s="6"/>
      <c r="C694" s="5"/>
      <c r="D694" s="7"/>
      <c r="E694" s="60"/>
      <c r="F694" s="37"/>
    </row>
    <row r="695" spans="1:6" ht="21">
      <c r="A695" s="19">
        <v>705</v>
      </c>
      <c r="B695" s="6"/>
      <c r="C695" s="5"/>
      <c r="D695" s="7"/>
      <c r="E695" s="60"/>
      <c r="F695" s="37"/>
    </row>
    <row r="696" spans="1:6" ht="21">
      <c r="A696" s="19">
        <v>706</v>
      </c>
      <c r="B696" s="6"/>
      <c r="C696" s="5"/>
      <c r="D696" s="7"/>
      <c r="E696" s="60"/>
      <c r="F696" s="37"/>
    </row>
    <row r="697" spans="1:6" ht="21">
      <c r="A697" s="19">
        <v>707</v>
      </c>
      <c r="B697" s="6"/>
      <c r="C697" s="5"/>
      <c r="D697" s="7"/>
      <c r="E697" s="60"/>
      <c r="F697" s="37"/>
    </row>
    <row r="698" spans="1:6" ht="21">
      <c r="A698" s="19">
        <v>708</v>
      </c>
      <c r="B698" s="6"/>
      <c r="C698" s="5"/>
      <c r="D698" s="7"/>
      <c r="E698" s="60"/>
      <c r="F698" s="37"/>
    </row>
    <row r="699" spans="1:6" ht="21">
      <c r="A699" s="19">
        <v>709</v>
      </c>
      <c r="B699" s="6"/>
      <c r="C699" s="5"/>
      <c r="D699" s="7"/>
      <c r="E699" s="60"/>
      <c r="F699" s="37"/>
    </row>
    <row r="700" spans="1:6" ht="21">
      <c r="A700" s="19">
        <v>710</v>
      </c>
      <c r="B700" s="6"/>
      <c r="C700" s="5"/>
      <c r="D700" s="7"/>
      <c r="E700" s="60"/>
      <c r="F700" s="37"/>
    </row>
    <row r="701" spans="1:6" ht="21">
      <c r="A701" s="19">
        <v>711</v>
      </c>
      <c r="B701" s="6"/>
      <c r="C701" s="5"/>
      <c r="D701" s="7"/>
      <c r="E701" s="60"/>
      <c r="F701" s="37"/>
    </row>
    <row r="702" spans="1:6" ht="21">
      <c r="A702" s="19">
        <v>712</v>
      </c>
      <c r="B702" s="6"/>
      <c r="C702" s="5"/>
      <c r="D702" s="7"/>
      <c r="E702" s="60"/>
      <c r="F702" s="37"/>
    </row>
    <row r="703" spans="1:6" ht="21">
      <c r="A703" s="19">
        <v>713</v>
      </c>
      <c r="B703" s="6"/>
      <c r="C703" s="5"/>
      <c r="D703" s="7"/>
      <c r="E703" s="60"/>
      <c r="F703" s="37"/>
    </row>
    <row r="704" spans="1:6" ht="21">
      <c r="A704" s="19">
        <v>714</v>
      </c>
      <c r="B704" s="6"/>
      <c r="C704" s="5"/>
      <c r="D704" s="7"/>
      <c r="E704" s="60"/>
      <c r="F704" s="37"/>
    </row>
    <row r="705" spans="1:6" ht="21">
      <c r="A705" s="19">
        <v>715</v>
      </c>
      <c r="B705" s="6"/>
      <c r="C705" s="5"/>
      <c r="D705" s="7"/>
      <c r="E705" s="60"/>
      <c r="F705" s="37"/>
    </row>
    <row r="706" spans="1:6" ht="21">
      <c r="A706" s="19">
        <v>716</v>
      </c>
      <c r="B706" s="6"/>
      <c r="C706" s="5"/>
      <c r="D706" s="7"/>
      <c r="E706" s="60"/>
      <c r="F706" s="37"/>
    </row>
    <row r="707" spans="1:6" ht="21">
      <c r="A707" s="19">
        <v>717</v>
      </c>
      <c r="B707" s="6"/>
      <c r="C707" s="5"/>
      <c r="D707" s="7"/>
      <c r="E707" s="60"/>
      <c r="F707" s="37"/>
    </row>
    <row r="708" spans="1:6" ht="21">
      <c r="A708" s="19">
        <v>718</v>
      </c>
      <c r="B708" s="6"/>
      <c r="C708" s="5"/>
      <c r="D708" s="7"/>
      <c r="E708" s="60"/>
      <c r="F708" s="37"/>
    </row>
    <row r="709" spans="1:6" ht="21">
      <c r="A709" s="19">
        <v>719</v>
      </c>
      <c r="B709" s="6"/>
      <c r="C709" s="5"/>
      <c r="D709" s="7"/>
      <c r="E709" s="60"/>
      <c r="F709" s="37"/>
    </row>
    <row r="710" spans="1:6" ht="21">
      <c r="A710" s="19">
        <v>720</v>
      </c>
      <c r="B710" s="6"/>
      <c r="C710" s="5"/>
      <c r="D710" s="7"/>
      <c r="E710" s="60"/>
      <c r="F710" s="37"/>
    </row>
    <row r="711" spans="1:6" ht="21">
      <c r="A711" s="19">
        <v>721</v>
      </c>
      <c r="B711" s="6"/>
      <c r="C711" s="5"/>
      <c r="D711" s="7"/>
      <c r="E711" s="60"/>
      <c r="F711" s="37"/>
    </row>
    <row r="712" spans="1:6" ht="21">
      <c r="A712" s="19">
        <v>722</v>
      </c>
      <c r="B712" s="6"/>
      <c r="C712" s="5"/>
      <c r="D712" s="7"/>
      <c r="E712" s="60"/>
      <c r="F712" s="37"/>
    </row>
    <row r="713" spans="1:6" ht="21">
      <c r="A713" s="19">
        <v>723</v>
      </c>
      <c r="B713" s="6"/>
      <c r="C713" s="5"/>
      <c r="D713" s="7"/>
      <c r="E713" s="60"/>
      <c r="F713" s="37"/>
    </row>
    <row r="714" spans="1:6" ht="21">
      <c r="A714" s="19">
        <v>724</v>
      </c>
      <c r="B714" s="6"/>
      <c r="C714" s="5"/>
      <c r="D714" s="7"/>
      <c r="E714" s="60"/>
      <c r="F714" s="37"/>
    </row>
    <row r="715" spans="1:6" ht="21">
      <c r="A715" s="19">
        <v>725</v>
      </c>
      <c r="B715" s="6"/>
      <c r="C715" s="5"/>
      <c r="D715" s="7"/>
      <c r="E715" s="60"/>
      <c r="F715" s="37"/>
    </row>
    <row r="716" spans="1:6" ht="21">
      <c r="A716" s="19">
        <v>726</v>
      </c>
      <c r="B716" s="6"/>
      <c r="C716" s="5"/>
      <c r="D716" s="7"/>
      <c r="E716" s="60"/>
      <c r="F716" s="37"/>
    </row>
    <row r="717" spans="1:6" ht="21">
      <c r="A717" s="19">
        <v>727</v>
      </c>
      <c r="B717" s="6"/>
      <c r="C717" s="5"/>
      <c r="D717" s="7"/>
      <c r="E717" s="60"/>
      <c r="F717" s="37"/>
    </row>
    <row r="718" spans="1:6" ht="21">
      <c r="A718" s="19">
        <v>728</v>
      </c>
      <c r="B718" s="6"/>
      <c r="C718" s="5"/>
      <c r="D718" s="7"/>
      <c r="E718" s="60"/>
      <c r="F718" s="37"/>
    </row>
    <row r="719" spans="1:6" ht="21">
      <c r="A719" s="19">
        <v>729</v>
      </c>
      <c r="B719" s="6"/>
      <c r="C719" s="5"/>
      <c r="D719" s="7"/>
      <c r="E719" s="60"/>
      <c r="F719" s="37"/>
    </row>
    <row r="720" spans="1:6" ht="21">
      <c r="A720" s="19">
        <v>730</v>
      </c>
      <c r="B720" s="6"/>
      <c r="C720" s="5"/>
      <c r="D720" s="7"/>
      <c r="E720" s="60"/>
      <c r="F720" s="37"/>
    </row>
    <row r="721" spans="1:6" ht="21">
      <c r="A721" s="19">
        <v>731</v>
      </c>
      <c r="B721" s="6"/>
      <c r="C721" s="5"/>
      <c r="D721" s="7"/>
      <c r="E721" s="60"/>
      <c r="F721" s="37"/>
    </row>
    <row r="722" spans="1:6" ht="21">
      <c r="A722" s="19">
        <v>732</v>
      </c>
      <c r="B722" s="6"/>
      <c r="C722" s="5"/>
      <c r="D722" s="7"/>
      <c r="E722" s="60"/>
      <c r="F722" s="37"/>
    </row>
    <row r="723" spans="1:6" ht="21">
      <c r="A723" s="19">
        <v>733</v>
      </c>
      <c r="B723" s="6"/>
      <c r="C723" s="5"/>
      <c r="D723" s="7"/>
      <c r="E723" s="60"/>
      <c r="F723" s="37"/>
    </row>
    <row r="724" spans="1:6" ht="21">
      <c r="A724" s="19">
        <v>734</v>
      </c>
      <c r="B724" s="6"/>
      <c r="C724" s="5"/>
      <c r="D724" s="7"/>
      <c r="E724" s="60"/>
      <c r="F724" s="37"/>
    </row>
    <row r="725" spans="1:6" ht="21">
      <c r="A725" s="19">
        <v>735</v>
      </c>
      <c r="B725" s="6"/>
      <c r="C725" s="5"/>
      <c r="D725" s="7"/>
      <c r="E725" s="60"/>
      <c r="F725" s="37"/>
    </row>
    <row r="726" spans="1:6" ht="21">
      <c r="A726" s="19">
        <v>736</v>
      </c>
      <c r="B726" s="6"/>
      <c r="C726" s="5"/>
      <c r="D726" s="7"/>
      <c r="E726" s="60"/>
      <c r="F726" s="37"/>
    </row>
    <row r="727" spans="1:6" ht="21">
      <c r="A727" s="19">
        <v>737</v>
      </c>
      <c r="B727" s="6"/>
      <c r="C727" s="5"/>
      <c r="D727" s="7"/>
      <c r="E727" s="60"/>
      <c r="F727" s="37"/>
    </row>
    <row r="728" spans="1:6" ht="21">
      <c r="A728" s="19">
        <v>738</v>
      </c>
      <c r="B728" s="6"/>
      <c r="C728" s="5"/>
      <c r="D728" s="7"/>
      <c r="E728" s="60"/>
      <c r="F728" s="37"/>
    </row>
    <row r="729" spans="1:6" ht="21">
      <c r="A729" s="19">
        <v>739</v>
      </c>
      <c r="B729" s="6"/>
      <c r="C729" s="5"/>
      <c r="D729" s="7"/>
      <c r="E729" s="60"/>
      <c r="F729" s="37"/>
    </row>
    <row r="730" spans="1:6" ht="21">
      <c r="A730" s="19">
        <v>740</v>
      </c>
      <c r="B730" s="6"/>
      <c r="C730" s="5"/>
      <c r="D730" s="7"/>
      <c r="E730" s="60"/>
      <c r="F730" s="37"/>
    </row>
    <row r="731" spans="1:6" ht="21">
      <c r="A731" s="19">
        <v>741</v>
      </c>
      <c r="B731" s="6"/>
      <c r="C731" s="5"/>
      <c r="D731" s="7"/>
      <c r="E731" s="60"/>
      <c r="F731" s="37"/>
    </row>
    <row r="732" spans="1:6" ht="21">
      <c r="A732" s="19">
        <v>742</v>
      </c>
      <c r="B732" s="6"/>
      <c r="C732" s="5"/>
      <c r="D732" s="7"/>
      <c r="E732" s="60"/>
      <c r="F732" s="37"/>
    </row>
    <row r="733" spans="1:6" ht="21">
      <c r="A733" s="19">
        <v>743</v>
      </c>
      <c r="B733" s="6"/>
      <c r="C733" s="5"/>
      <c r="D733" s="7"/>
      <c r="E733" s="60"/>
      <c r="F733" s="37"/>
    </row>
    <row r="734" spans="1:6" ht="21">
      <c r="A734" s="19">
        <v>744</v>
      </c>
      <c r="B734" s="6"/>
      <c r="C734" s="5"/>
      <c r="D734" s="7"/>
      <c r="E734" s="60"/>
      <c r="F734" s="37"/>
    </row>
    <row r="735" spans="1:6" ht="21">
      <c r="A735" s="19">
        <v>745</v>
      </c>
      <c r="B735" s="6"/>
      <c r="C735" s="5"/>
      <c r="D735" s="7"/>
      <c r="E735" s="60"/>
      <c r="F735" s="37"/>
    </row>
    <row r="736" spans="1:6" ht="21">
      <c r="A736" s="19">
        <v>746</v>
      </c>
      <c r="B736" s="6"/>
      <c r="C736" s="5"/>
      <c r="D736" s="7"/>
      <c r="E736" s="60"/>
      <c r="F736" s="37"/>
    </row>
    <row r="737" spans="1:6" ht="21">
      <c r="A737" s="19">
        <v>747</v>
      </c>
      <c r="B737" s="6"/>
      <c r="C737" s="5"/>
      <c r="D737" s="7"/>
      <c r="E737" s="60"/>
      <c r="F737" s="37"/>
    </row>
    <row r="738" spans="1:6" ht="21">
      <c r="A738" s="19">
        <v>748</v>
      </c>
      <c r="B738" s="6"/>
      <c r="C738" s="5"/>
      <c r="D738" s="7"/>
      <c r="E738" s="60"/>
      <c r="F738" s="37"/>
    </row>
    <row r="739" spans="1:6" ht="21">
      <c r="A739" s="19">
        <v>749</v>
      </c>
      <c r="B739" s="6"/>
      <c r="C739" s="5"/>
      <c r="D739" s="7"/>
      <c r="E739" s="60"/>
      <c r="F739" s="37"/>
    </row>
    <row r="740" spans="1:6" ht="21">
      <c r="A740" s="19">
        <v>750</v>
      </c>
      <c r="B740" s="6"/>
      <c r="C740" s="5"/>
      <c r="D740" s="7"/>
      <c r="E740" s="60"/>
      <c r="F740" s="37"/>
    </row>
    <row r="741" spans="1:6" ht="21">
      <c r="A741" s="19">
        <v>751</v>
      </c>
      <c r="B741" s="6"/>
      <c r="C741" s="5"/>
      <c r="D741" s="7"/>
      <c r="E741" s="60"/>
      <c r="F741" s="37"/>
    </row>
    <row r="742" spans="1:6" ht="21">
      <c r="A742" s="19">
        <v>752</v>
      </c>
      <c r="B742" s="6"/>
      <c r="C742" s="5"/>
      <c r="D742" s="7"/>
      <c r="E742" s="60"/>
      <c r="F742" s="37"/>
    </row>
    <row r="743" spans="1:6" ht="21">
      <c r="A743" s="19">
        <v>753</v>
      </c>
      <c r="B743" s="6"/>
      <c r="C743" s="5"/>
      <c r="D743" s="7"/>
      <c r="E743" s="60"/>
      <c r="F743" s="37"/>
    </row>
    <row r="744" spans="1:6" ht="21">
      <c r="A744" s="19">
        <v>754</v>
      </c>
      <c r="B744" s="6"/>
      <c r="C744" s="5"/>
      <c r="D744" s="7"/>
      <c r="E744" s="60"/>
      <c r="F744" s="37"/>
    </row>
    <row r="745" spans="1:6" ht="21">
      <c r="A745" s="19">
        <v>755</v>
      </c>
      <c r="B745" s="6"/>
      <c r="C745" s="5"/>
      <c r="D745" s="7"/>
      <c r="E745" s="60"/>
      <c r="F745" s="37"/>
    </row>
    <row r="746" spans="1:6" ht="21">
      <c r="A746" s="19">
        <v>756</v>
      </c>
      <c r="B746" s="6"/>
      <c r="C746" s="5"/>
      <c r="D746" s="7"/>
      <c r="E746" s="60"/>
      <c r="F746" s="37"/>
    </row>
    <row r="747" spans="1:6" ht="21">
      <c r="A747" s="19">
        <v>757</v>
      </c>
      <c r="B747" s="6"/>
      <c r="C747" s="5"/>
      <c r="D747" s="7"/>
      <c r="E747" s="60"/>
      <c r="F747" s="37"/>
    </row>
    <row r="748" spans="1:6" ht="21">
      <c r="A748" s="19">
        <v>758</v>
      </c>
      <c r="B748" s="6"/>
      <c r="C748" s="5"/>
      <c r="D748" s="7"/>
      <c r="E748" s="60"/>
      <c r="F748" s="37"/>
    </row>
    <row r="749" spans="1:6" ht="21">
      <c r="A749" s="19">
        <v>759</v>
      </c>
      <c r="B749" s="6"/>
      <c r="C749" s="5"/>
      <c r="D749" s="7"/>
      <c r="E749" s="60"/>
      <c r="F749" s="37"/>
    </row>
    <row r="750" spans="1:6" ht="21">
      <c r="A750" s="19">
        <v>760</v>
      </c>
      <c r="B750" s="6"/>
      <c r="C750" s="5"/>
      <c r="D750" s="7"/>
      <c r="E750" s="60"/>
      <c r="F750" s="37"/>
    </row>
    <row r="751" spans="1:6" ht="21">
      <c r="A751" s="19">
        <v>761</v>
      </c>
      <c r="B751" s="6"/>
      <c r="C751" s="5"/>
      <c r="D751" s="7"/>
      <c r="E751" s="60"/>
      <c r="F751" s="37"/>
    </row>
    <row r="752" spans="1:6" ht="21">
      <c r="A752" s="19">
        <v>762</v>
      </c>
      <c r="B752" s="6"/>
      <c r="C752" s="5"/>
      <c r="D752" s="7"/>
      <c r="E752" s="60"/>
      <c r="F752" s="37"/>
    </row>
    <row r="753" spans="1:6" ht="21">
      <c r="A753" s="19">
        <v>763</v>
      </c>
      <c r="B753" s="6"/>
      <c r="C753" s="5"/>
      <c r="D753" s="7"/>
      <c r="E753" s="60"/>
      <c r="F753" s="37"/>
    </row>
    <row r="754" spans="1:6" ht="21">
      <c r="A754" s="19">
        <v>764</v>
      </c>
      <c r="B754" s="6"/>
      <c r="C754" s="5"/>
      <c r="D754" s="7"/>
      <c r="E754" s="60"/>
      <c r="F754" s="37"/>
    </row>
    <row r="755" spans="1:6" ht="21">
      <c r="A755" s="19">
        <v>765</v>
      </c>
      <c r="B755" s="6"/>
      <c r="C755" s="5"/>
      <c r="D755" s="7"/>
      <c r="E755" s="60"/>
      <c r="F755" s="37"/>
    </row>
    <row r="756" spans="1:6" ht="21">
      <c r="A756" s="19">
        <v>766</v>
      </c>
      <c r="B756" s="6"/>
      <c r="C756" s="5"/>
      <c r="D756" s="7"/>
      <c r="E756" s="60"/>
      <c r="F756" s="37"/>
    </row>
    <row r="757" spans="1:6" ht="21">
      <c r="A757" s="19">
        <v>767</v>
      </c>
      <c r="B757" s="6"/>
      <c r="C757" s="5"/>
      <c r="D757" s="7"/>
      <c r="E757" s="60"/>
      <c r="F757" s="37"/>
    </row>
    <row r="758" spans="1:6" ht="21">
      <c r="A758" s="19">
        <v>768</v>
      </c>
      <c r="B758" s="6"/>
      <c r="C758" s="5"/>
      <c r="D758" s="7"/>
      <c r="E758" s="60"/>
      <c r="F758" s="37"/>
    </row>
    <row r="759" spans="1:6" ht="21">
      <c r="A759" s="19">
        <v>769</v>
      </c>
      <c r="B759" s="6"/>
      <c r="C759" s="5"/>
      <c r="D759" s="7"/>
      <c r="E759" s="60"/>
      <c r="F759" s="37"/>
    </row>
    <row r="760" spans="1:6" ht="21">
      <c r="A760" s="19">
        <v>770</v>
      </c>
      <c r="B760" s="6"/>
      <c r="C760" s="5"/>
      <c r="D760" s="7"/>
      <c r="E760" s="60"/>
      <c r="F760" s="37"/>
    </row>
    <row r="761" spans="1:6" ht="21">
      <c r="A761" s="19">
        <v>771</v>
      </c>
      <c r="B761" s="6"/>
      <c r="C761" s="5"/>
      <c r="D761" s="7"/>
      <c r="E761" s="60"/>
      <c r="F761" s="37"/>
    </row>
    <row r="762" spans="1:6" ht="21">
      <c r="A762" s="19">
        <v>772</v>
      </c>
      <c r="B762" s="6"/>
      <c r="C762" s="5"/>
      <c r="D762" s="7"/>
      <c r="E762" s="60"/>
      <c r="F762" s="37"/>
    </row>
    <row r="763" spans="1:6" ht="21">
      <c r="A763" s="19">
        <v>773</v>
      </c>
      <c r="B763" s="6"/>
      <c r="C763" s="5"/>
      <c r="D763" s="7"/>
      <c r="E763" s="60"/>
      <c r="F763" s="37"/>
    </row>
    <row r="764" spans="1:6" ht="21">
      <c r="A764" s="19">
        <v>774</v>
      </c>
      <c r="B764" s="6"/>
      <c r="C764" s="5"/>
      <c r="D764" s="7"/>
      <c r="E764" s="60"/>
      <c r="F764" s="37"/>
    </row>
    <row r="765" spans="1:6" ht="21">
      <c r="A765" s="19">
        <v>775</v>
      </c>
      <c r="B765" s="6"/>
      <c r="C765" s="5"/>
      <c r="D765" s="7"/>
      <c r="E765" s="60"/>
      <c r="F765" s="37"/>
    </row>
    <row r="766" spans="1:6" ht="21">
      <c r="A766" s="19">
        <v>776</v>
      </c>
      <c r="B766" s="6"/>
      <c r="C766" s="5"/>
      <c r="D766" s="7"/>
      <c r="E766" s="60"/>
      <c r="F766" s="37"/>
    </row>
    <row r="767" spans="1:6" ht="21">
      <c r="A767" s="19">
        <v>777</v>
      </c>
      <c r="B767" s="6"/>
      <c r="C767" s="5"/>
      <c r="D767" s="7"/>
      <c r="E767" s="60"/>
      <c r="F767" s="37"/>
    </row>
    <row r="768" spans="1:6" ht="21">
      <c r="A768" s="19">
        <v>778</v>
      </c>
      <c r="B768" s="6"/>
      <c r="C768" s="5"/>
      <c r="D768" s="7"/>
      <c r="E768" s="60"/>
      <c r="F768" s="37"/>
    </row>
    <row r="769" spans="1:6" ht="21">
      <c r="A769" s="19">
        <v>779</v>
      </c>
      <c r="B769" s="6"/>
      <c r="C769" s="5"/>
      <c r="D769" s="7"/>
      <c r="E769" s="60"/>
      <c r="F769" s="37"/>
    </row>
    <row r="770" spans="1:6" ht="21">
      <c r="A770" s="19">
        <v>780</v>
      </c>
      <c r="B770" s="6"/>
      <c r="C770" s="5"/>
      <c r="D770" s="7"/>
      <c r="E770" s="60"/>
      <c r="F770" s="37"/>
    </row>
    <row r="771" spans="1:6" ht="21">
      <c r="A771" s="19">
        <v>781</v>
      </c>
      <c r="B771" s="6"/>
      <c r="C771" s="5"/>
      <c r="D771" s="7"/>
      <c r="E771" s="60"/>
      <c r="F771" s="37"/>
    </row>
    <row r="772" spans="1:6" ht="21">
      <c r="A772" s="19">
        <v>782</v>
      </c>
      <c r="B772" s="6"/>
      <c r="C772" s="5"/>
      <c r="D772" s="7"/>
      <c r="E772" s="60"/>
      <c r="F772" s="37"/>
    </row>
    <row r="773" spans="1:6" ht="21">
      <c r="A773" s="19">
        <v>783</v>
      </c>
      <c r="B773" s="6"/>
      <c r="C773" s="5"/>
      <c r="D773" s="7"/>
      <c r="E773" s="60"/>
      <c r="F773" s="37"/>
    </row>
    <row r="774" spans="1:6" ht="21">
      <c r="A774" s="19">
        <v>784</v>
      </c>
      <c r="B774" s="6"/>
      <c r="C774" s="5"/>
      <c r="D774" s="7"/>
      <c r="E774" s="60"/>
      <c r="F774" s="37"/>
    </row>
    <row r="775" spans="1:6" ht="21">
      <c r="A775" s="19">
        <v>785</v>
      </c>
      <c r="B775" s="6"/>
      <c r="C775" s="5"/>
      <c r="D775" s="7"/>
      <c r="E775" s="60"/>
      <c r="F775" s="37"/>
    </row>
    <row r="776" spans="1:6" ht="21">
      <c r="A776" s="19">
        <v>786</v>
      </c>
      <c r="B776" s="6"/>
      <c r="C776" s="5"/>
      <c r="D776" s="7"/>
      <c r="E776" s="60"/>
      <c r="F776" s="37"/>
    </row>
    <row r="777" spans="1:6" ht="21">
      <c r="A777" s="19">
        <v>787</v>
      </c>
      <c r="B777" s="6"/>
      <c r="C777" s="5"/>
      <c r="D777" s="7"/>
      <c r="E777" s="60"/>
      <c r="F777" s="37"/>
    </row>
    <row r="778" spans="1:6" ht="21">
      <c r="A778" s="19">
        <v>788</v>
      </c>
      <c r="B778" s="6"/>
      <c r="C778" s="5"/>
      <c r="D778" s="7"/>
      <c r="E778" s="60"/>
      <c r="F778" s="37"/>
    </row>
    <row r="779" spans="1:6" ht="21">
      <c r="A779" s="19">
        <v>789</v>
      </c>
      <c r="B779" s="6"/>
      <c r="C779" s="5"/>
      <c r="D779" s="7"/>
      <c r="E779" s="60"/>
      <c r="F779" s="37"/>
    </row>
    <row r="780" spans="1:6" ht="21">
      <c r="A780" s="19">
        <v>790</v>
      </c>
      <c r="B780" s="6"/>
      <c r="C780" s="5"/>
      <c r="D780" s="7"/>
      <c r="E780" s="60"/>
      <c r="F780" s="37"/>
    </row>
    <row r="781" spans="1:6" ht="21">
      <c r="A781" s="19">
        <v>791</v>
      </c>
      <c r="B781" s="6"/>
      <c r="C781" s="5"/>
      <c r="D781" s="7"/>
      <c r="E781" s="60"/>
      <c r="F781" s="37"/>
    </row>
    <row r="782" spans="1:6" ht="21">
      <c r="A782" s="19">
        <v>792</v>
      </c>
      <c r="B782" s="6"/>
      <c r="C782" s="5"/>
      <c r="D782" s="7"/>
      <c r="E782" s="60"/>
      <c r="F782" s="37"/>
    </row>
    <row r="783" spans="1:6" ht="21">
      <c r="A783" s="19">
        <v>793</v>
      </c>
      <c r="B783" s="6"/>
      <c r="C783" s="5"/>
      <c r="D783" s="7"/>
      <c r="E783" s="60"/>
      <c r="F783" s="37"/>
    </row>
    <row r="784" spans="1:6" ht="21">
      <c r="A784" s="19">
        <v>794</v>
      </c>
      <c r="B784" s="6"/>
      <c r="C784" s="5"/>
      <c r="D784" s="7"/>
      <c r="E784" s="60"/>
      <c r="F784" s="37"/>
    </row>
    <row r="785" spans="1:6" ht="21">
      <c r="A785" s="19">
        <v>795</v>
      </c>
      <c r="B785" s="6"/>
      <c r="C785" s="5"/>
      <c r="D785" s="7"/>
      <c r="E785" s="60"/>
      <c r="F785" s="37"/>
    </row>
    <row r="786" spans="1:6" ht="21">
      <c r="A786" s="19">
        <v>796</v>
      </c>
      <c r="B786" s="6"/>
      <c r="C786" s="5"/>
      <c r="D786" s="7"/>
      <c r="E786" s="60"/>
      <c r="F786" s="37"/>
    </row>
    <row r="787" spans="1:6" ht="21">
      <c r="A787" s="19">
        <v>797</v>
      </c>
      <c r="B787" s="6"/>
      <c r="C787" s="5"/>
      <c r="D787" s="7"/>
      <c r="E787" s="60"/>
      <c r="F787" s="37"/>
    </row>
    <row r="788" spans="1:6" ht="21">
      <c r="A788" s="19">
        <v>798</v>
      </c>
      <c r="B788" s="6"/>
      <c r="C788" s="5"/>
      <c r="D788" s="7"/>
      <c r="E788" s="60"/>
      <c r="F788" s="37"/>
    </row>
    <row r="789" spans="1:6" ht="21">
      <c r="A789" s="19">
        <v>799</v>
      </c>
      <c r="B789" s="6"/>
      <c r="C789" s="5"/>
      <c r="D789" s="7"/>
      <c r="E789" s="60"/>
      <c r="F789" s="37"/>
    </row>
    <row r="790" spans="1:6" ht="21">
      <c r="A790" s="19">
        <v>800</v>
      </c>
      <c r="B790" s="6"/>
      <c r="C790" s="5"/>
      <c r="D790" s="7"/>
      <c r="E790" s="60"/>
      <c r="F790" s="37"/>
    </row>
    <row r="791" spans="1:6" ht="21">
      <c r="A791" s="19">
        <v>801</v>
      </c>
      <c r="B791" s="6"/>
      <c r="C791" s="5"/>
      <c r="D791" s="7"/>
      <c r="E791" s="60"/>
      <c r="F791" s="37"/>
    </row>
    <row r="792" spans="1:6" ht="21">
      <c r="A792" s="19">
        <v>802</v>
      </c>
      <c r="B792" s="6"/>
      <c r="C792" s="5"/>
      <c r="D792" s="7"/>
      <c r="E792" s="60"/>
      <c r="F792" s="37"/>
    </row>
    <row r="793" spans="1:6" ht="21">
      <c r="A793" s="19">
        <v>803</v>
      </c>
      <c r="B793" s="6"/>
      <c r="C793" s="5"/>
      <c r="D793" s="7"/>
      <c r="E793" s="60"/>
      <c r="F793" s="37"/>
    </row>
    <row r="794" spans="1:6" ht="21">
      <c r="A794" s="19">
        <v>804</v>
      </c>
      <c r="B794" s="6"/>
      <c r="C794" s="5"/>
      <c r="D794" s="7"/>
      <c r="E794" s="60"/>
      <c r="F794" s="37"/>
    </row>
    <row r="795" spans="1:6" ht="20.45">
      <c r="A795" s="19">
        <v>805</v>
      </c>
      <c r="B795" s="21"/>
    </row>
    <row r="796" spans="1:6" ht="20.45">
      <c r="B796" s="21"/>
    </row>
    <row r="797" spans="1:6" ht="20.45">
      <c r="B797" s="21"/>
    </row>
    <row r="798" spans="1:6" ht="20.45">
      <c r="B798" s="21"/>
    </row>
    <row r="799" spans="1:6" ht="20.45">
      <c r="B799" s="21"/>
    </row>
    <row r="800" spans="1:6" ht="20.45">
      <c r="B800" s="21"/>
    </row>
    <row r="801" spans="2:2" ht="20.45">
      <c r="B801" s="21"/>
    </row>
  </sheetData>
  <autoFilter ref="A3:F802" xr:uid="{00000000-0009-0000-0000-000000000000}"/>
  <mergeCells count="6">
    <mergeCell ref="G3:G234"/>
    <mergeCell ref="H10:I10"/>
    <mergeCell ref="H11:Q234"/>
    <mergeCell ref="H3:I3"/>
    <mergeCell ref="R1:V234"/>
    <mergeCell ref="J3:Q10"/>
  </mergeCells>
  <conditionalFormatting sqref="A1 A4:A1048576">
    <cfRule type="cellIs" dxfId="20" priority="984" operator="equal">
      <formula>"..."</formula>
    </cfRule>
    <cfRule type="cellIs" dxfId="19" priority="986" operator="equal">
      <formula>".."</formula>
    </cfRule>
    <cfRule type="cellIs" dxfId="18" priority="987" operator="equal">
      <formula>"."</formula>
    </cfRule>
  </conditionalFormatting>
  <conditionalFormatting sqref="E3:E160 E200:E550">
    <cfRule type="cellIs" dxfId="17" priority="58" operator="equal">
      <formula>"Critical"</formula>
    </cfRule>
  </conditionalFormatting>
  <conditionalFormatting sqref="E602:E1048576">
    <cfRule type="cellIs" dxfId="16" priority="982" operator="equal">
      <formula>"Critical"</formula>
    </cfRule>
  </conditionalFormatting>
  <conditionalFormatting sqref="F4:F160 F200:F794">
    <cfRule type="containsText" dxfId="15" priority="10" operator="containsText" text="Hold">
      <formula>NOT(ISERROR(SEARCH("Hold",F4)))</formula>
    </cfRule>
    <cfRule type="containsText" dxfId="14" priority="11" operator="containsText" text="Escalation ">
      <formula>NOT(ISERROR(SEARCH("Escalation ",F4)))</formula>
    </cfRule>
    <cfRule type="containsText" dxfId="13" priority="12" operator="containsText" text="Completed">
      <formula>NOT(ISERROR(SEARCH("Completed",F4)))</formula>
    </cfRule>
    <cfRule type="containsText" dxfId="12" priority="13" operator="containsText" text="In Progress">
      <formula>NOT(ISERROR(SEARCH("In Progress",F4)))</formula>
    </cfRule>
    <cfRule type="containsText" dxfId="11" priority="14" operator="containsText" text="Pending">
      <formula>NOT(ISERROR(SEARCH("Pending",F4)))</formula>
    </cfRule>
    <cfRule type="containsText" dxfId="10" priority="15" operator="containsText" text="Hold">
      <formula>NOT(ISERROR(SEARCH("Hold",F4)))</formula>
    </cfRule>
  </conditionalFormatting>
  <conditionalFormatting sqref="H5">
    <cfRule type="containsText" dxfId="9" priority="718" operator="containsText" text="Hold">
      <formula>NOT(ISERROR(SEARCH("Hold",H5)))</formula>
    </cfRule>
    <cfRule type="containsText" dxfId="8" priority="719" operator="containsText" text="Escalation ">
      <formula>NOT(ISERROR(SEARCH("Escalation ",H5)))</formula>
    </cfRule>
    <cfRule type="containsText" dxfId="7" priority="720" operator="containsText" text="Completed">
      <formula>NOT(ISERROR(SEARCH("Completed",H5)))</formula>
    </cfRule>
    <cfRule type="containsText" dxfId="6" priority="721" operator="containsText" text="In Progress">
      <formula>NOT(ISERROR(SEARCH("In Progress",H5)))</formula>
    </cfRule>
    <cfRule type="containsText" dxfId="5" priority="722" operator="containsText" text="Pending">
      <formula>NOT(ISERROR(SEARCH("Pending",H5)))</formula>
    </cfRule>
    <cfRule type="containsText" dxfId="4" priority="723" operator="containsText" text="Hold">
      <formula>NOT(ISERROR(SEARCH("Hold",H5)))</formula>
    </cfRule>
  </conditionalFormatting>
  <dataValidations count="1">
    <dataValidation type="list" allowBlank="1" showInputMessage="1" showErrorMessage="1" sqref="F681:F794 F602:F658 F4:F160 F200:F267 F338:F453" xr:uid="{00000000-0002-0000-0000-000000000000}">
      <formula1>$H$4:$H$8</formula1>
    </dataValidation>
  </dataValidations>
  <pageMargins left="0.7" right="0.7" top="0.75" bottom="0.75" header="0.3" footer="0.3"/>
  <pageSetup paperSize="9" scale="56" orientation="landscape" horizontalDpi="200" verticalDpi="200" r:id="rId1"/>
  <colBreaks count="1" manualBreakCount="1">
    <brk id="15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D0418973-4ADF-44A5-94EF-8A41BE45BB94}">
            <xm:f>NOT(ISERROR(SEARCH($H$5,F4)))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17" operator="containsText" id="{DB2F22DD-5346-4CCC-9BCC-34B117C53F43}">
            <xm:f>NOT(ISERROR(SEARCH($H$6,F4)))</xm:f>
            <xm:f>$H$6</xm:f>
            <x14:dxf>
              <fill>
                <patternFill>
                  <bgColor theme="9"/>
                </patternFill>
              </fill>
            </x14:dxf>
          </x14:cfRule>
          <xm:sqref>F4:F160 F200:F794</xm:sqref>
        </x14:conditionalFormatting>
        <x14:conditionalFormatting xmlns:xm="http://schemas.microsoft.com/office/excel/2006/main">
          <x14:cfRule type="containsText" priority="724" operator="containsText" id="{C22DCB74-FB00-457C-B50B-E32B39FF8677}">
            <xm:f>NOT(ISERROR(SEARCH($H$5,H5)))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725" operator="containsText" id="{82873DF4-3F41-491E-B345-599764B1724B}">
            <xm:f>NOT(ISERROR(SEARCH($H$6,H5)))</xm:f>
            <xm:f>$H$6</xm:f>
            <x14:dxf>
              <fill>
                <patternFill>
                  <bgColor theme="9"/>
                </patternFill>
              </fill>
            </x14:dxf>
          </x14:cfRule>
          <xm:sqref>H5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Summery!$F$2:$F$38</xm:f>
          </x14:formula1>
          <xm:sqref>E681:E794 E425:E453 E602:E658 E412 E4:E160 E200:E267 E338:E403</xm:sqref>
        </x14:dataValidation>
        <x14:dataValidation type="list" operator="greaterThan" allowBlank="1" showInputMessage="1" showErrorMessage="1" xr:uid="{00000000-0002-0000-0000-000002000000}">
          <x14:formula1>
            <xm:f>Summery!$H$2:$H$5</xm:f>
          </x14:formula1>
          <xm:sqref>C681:C794 C426:C453 C602:C658 C412 C4:C160 C200:C267 C338:C403</xm:sqref>
        </x14:dataValidation>
        <x14:dataValidation type="list" allowBlank="1" showInputMessage="1" showErrorMessage="1" xr:uid="{00000000-0002-0000-0000-000003000000}">
          <x14:formula1>
            <xm:f>Summery!$E$2:$E$13</xm:f>
          </x14:formula1>
          <xm:sqref>D4:D160 D200:D267 D338:D794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43"/>
  <sheetViews>
    <sheetView zoomScale="80" zoomScaleNormal="80" workbookViewId="0">
      <selection activeCell="R46" sqref="R46"/>
    </sheetView>
  </sheetViews>
  <sheetFormatPr defaultColWidth="9.28515625" defaultRowHeight="14.45"/>
  <cols>
    <col min="1" max="1" width="39.28515625" style="2" customWidth="1"/>
    <col min="2" max="2" width="23.42578125" style="2" customWidth="1"/>
    <col min="4" max="4" width="9.28515625" style="2"/>
    <col min="5" max="5" width="19.85546875" style="2" customWidth="1"/>
    <col min="6" max="6" width="39.42578125" style="2" bestFit="1" customWidth="1"/>
    <col min="7" max="7" width="9.28515625" style="2"/>
    <col min="8" max="8" width="16.7109375" style="2" customWidth="1"/>
    <col min="9" max="9" width="9.28515625" style="2"/>
    <col min="10" max="10" width="26.7109375" style="2" bestFit="1" customWidth="1"/>
    <col min="11" max="11" width="12.7109375" style="2" bestFit="1" customWidth="1"/>
    <col min="12" max="12" width="36.42578125" style="2" bestFit="1" customWidth="1"/>
    <col min="13" max="13" width="16.28515625" style="2" customWidth="1"/>
    <col min="14" max="16384" width="9.28515625" style="2"/>
  </cols>
  <sheetData>
    <row r="1" spans="1:13" ht="21">
      <c r="A1" s="10" t="s">
        <v>348</v>
      </c>
      <c r="B1" s="9" t="s">
        <v>349</v>
      </c>
      <c r="C1" s="96"/>
      <c r="D1" s="97"/>
      <c r="E1" s="10" t="s">
        <v>350</v>
      </c>
      <c r="F1" s="9" t="s">
        <v>351</v>
      </c>
      <c r="G1" s="98"/>
      <c r="H1" s="9" t="s">
        <v>352</v>
      </c>
      <c r="I1" s="95"/>
    </row>
    <row r="2" spans="1:13" ht="22.9">
      <c r="A2" s="32" t="str">
        <f>E2</f>
        <v>Sultan</v>
      </c>
      <c r="B2" s="4">
        <f>COUNTIF(MAR!D4:D794,"Sultan")</f>
        <v>75</v>
      </c>
      <c r="C2" s="96"/>
      <c r="D2" s="97"/>
      <c r="E2" s="31" t="s">
        <v>9</v>
      </c>
      <c r="F2" s="34" t="s">
        <v>353</v>
      </c>
      <c r="G2" s="98"/>
      <c r="H2" s="33" t="s">
        <v>8</v>
      </c>
      <c r="I2" s="95"/>
    </row>
    <row r="3" spans="1:13" ht="22.9">
      <c r="A3" s="32" t="str">
        <f t="shared" ref="A3:A8" si="0">E3</f>
        <v>Abeer</v>
      </c>
      <c r="B3" s="4">
        <f>COUNTIF(MAR!D4:D794,"Abeer")</f>
        <v>0</v>
      </c>
      <c r="C3" s="96"/>
      <c r="D3" s="97"/>
      <c r="E3" s="31" t="s">
        <v>354</v>
      </c>
      <c r="F3" s="34" t="s">
        <v>355</v>
      </c>
      <c r="G3" s="98"/>
      <c r="H3" s="33" t="s">
        <v>14</v>
      </c>
      <c r="I3" s="95"/>
    </row>
    <row r="4" spans="1:13" ht="22.9">
      <c r="A4" s="32" t="str">
        <f t="shared" si="0"/>
        <v>M. Shahrani</v>
      </c>
      <c r="B4" s="4">
        <f>COUNTIF(MAR!D4:D794,"M. Shahrani")</f>
        <v>36</v>
      </c>
      <c r="C4" s="96"/>
      <c r="D4" s="97"/>
      <c r="E4" s="31" t="s">
        <v>100</v>
      </c>
      <c r="F4" s="34" t="s">
        <v>90</v>
      </c>
      <c r="G4" s="98"/>
      <c r="H4" s="33" t="s">
        <v>17</v>
      </c>
      <c r="I4" s="95"/>
    </row>
    <row r="5" spans="1:13" ht="22.9">
      <c r="A5" s="32" t="str">
        <f>E5</f>
        <v>M. Askar</v>
      </c>
      <c r="B5" s="4">
        <f>COUNTIF(MAR!D4:D794,"M. Askar")</f>
        <v>0</v>
      </c>
      <c r="C5" s="96"/>
      <c r="D5" s="97"/>
      <c r="E5" s="31" t="s">
        <v>356</v>
      </c>
      <c r="F5" s="34" t="s">
        <v>357</v>
      </c>
      <c r="G5" s="98"/>
      <c r="H5" s="33" t="s">
        <v>128</v>
      </c>
      <c r="I5" s="95"/>
    </row>
    <row r="6" spans="1:13" ht="22.9">
      <c r="A6" s="32" t="str">
        <f>E6</f>
        <v>Ibrahim</v>
      </c>
      <c r="B6" s="4">
        <f>COUNTIF(MAR!D4:D794,"Ibrahim")</f>
        <v>0</v>
      </c>
      <c r="C6" s="96"/>
      <c r="D6" s="97"/>
      <c r="E6" s="31" t="s">
        <v>358</v>
      </c>
      <c r="F6" s="34" t="s">
        <v>359</v>
      </c>
      <c r="G6" s="86"/>
      <c r="H6" s="86"/>
      <c r="I6" s="86"/>
      <c r="J6" s="9" t="s">
        <v>360</v>
      </c>
      <c r="K6" s="39" t="s">
        <v>361</v>
      </c>
      <c r="L6" s="9" t="s">
        <v>360</v>
      </c>
      <c r="M6" s="39" t="s">
        <v>361</v>
      </c>
    </row>
    <row r="7" spans="1:13" ht="22.9">
      <c r="A7" s="32" t="str">
        <f>E7</f>
        <v>Abdullah</v>
      </c>
      <c r="B7" s="4">
        <f>COUNTIF(MAR!D4:D794,"Abdullah")</f>
        <v>70</v>
      </c>
      <c r="C7" s="96"/>
      <c r="D7" s="97"/>
      <c r="E7" s="31" t="s">
        <v>261</v>
      </c>
      <c r="F7" s="34" t="s">
        <v>47</v>
      </c>
      <c r="G7" s="86"/>
      <c r="H7" s="86"/>
      <c r="I7" s="86"/>
      <c r="J7" s="40" t="s">
        <v>353</v>
      </c>
      <c r="K7" s="41">
        <f>COUNTIF(MAR!E4:E792,"FCR")</f>
        <v>0</v>
      </c>
      <c r="L7" s="42" t="s">
        <v>362</v>
      </c>
      <c r="M7" s="41">
        <f>COUNTIF(MAR!E4:E792,"Sec Control Modifications")</f>
        <v>0</v>
      </c>
    </row>
    <row r="8" spans="1:13" ht="22.9">
      <c r="A8" s="32" t="str">
        <f t="shared" si="0"/>
        <v>Milaf</v>
      </c>
      <c r="B8" s="4">
        <f>COUNTIF(MAR!D4:D794,"Milaf")</f>
        <v>50</v>
      </c>
      <c r="C8" s="96"/>
      <c r="D8" s="97"/>
      <c r="E8" s="31" t="s">
        <v>169</v>
      </c>
      <c r="F8" s="34" t="s">
        <v>10</v>
      </c>
      <c r="G8" s="86"/>
      <c r="H8" s="86"/>
      <c r="I8" s="86"/>
      <c r="J8" s="40" t="s">
        <v>355</v>
      </c>
      <c r="K8" s="41">
        <f>COUNTIF(MAR!E4:E792,"VPN")</f>
        <v>0</v>
      </c>
      <c r="L8" s="42" t="s">
        <v>363</v>
      </c>
      <c r="M8" s="41">
        <f>COUNTIF(MAR!E4:E792,"Architect Review")</f>
        <v>1</v>
      </c>
    </row>
    <row r="9" spans="1:13" ht="20.45" customHeight="1">
      <c r="A9" s="32" t="str">
        <f>E9</f>
        <v>M.Aqily</v>
      </c>
      <c r="B9" s="4">
        <f>COUNTIF(MAR!D4:D794,"M.Aqily")</f>
        <v>6</v>
      </c>
      <c r="C9" s="96"/>
      <c r="D9" s="97"/>
      <c r="E9" s="31" t="s">
        <v>341</v>
      </c>
      <c r="F9" s="34" t="s">
        <v>176</v>
      </c>
      <c r="G9" s="86"/>
      <c r="H9" s="86"/>
      <c r="I9" s="86"/>
      <c r="J9" s="40" t="s">
        <v>90</v>
      </c>
      <c r="K9" s="41">
        <f>COUNTIF(MAR!E4:E792,"SOC Alerts")</f>
        <v>59</v>
      </c>
      <c r="L9" s="42" t="s">
        <v>364</v>
      </c>
      <c r="M9" s="41">
        <f>COUNTIF(MAR!E4:E792,"Review Cyber Control")</f>
        <v>0</v>
      </c>
    </row>
    <row r="10" spans="1:13" ht="22.9">
      <c r="A10" s="32" t="str">
        <f>E10</f>
        <v>NA</v>
      </c>
      <c r="B10" s="4">
        <f>COUNTIF(MAR!D4:D794,"NA")</f>
        <v>0</v>
      </c>
      <c r="C10" s="2"/>
      <c r="E10" s="31" t="s">
        <v>365</v>
      </c>
      <c r="F10" s="34" t="s">
        <v>157</v>
      </c>
      <c r="G10" s="86"/>
      <c r="H10" s="86"/>
      <c r="I10" s="86"/>
      <c r="J10" s="40" t="s">
        <v>357</v>
      </c>
      <c r="K10" s="41">
        <f>COUNTIF(MAR!E4:E792,"USB / CD")</f>
        <v>0</v>
      </c>
      <c r="L10" s="42" t="s">
        <v>366</v>
      </c>
      <c r="M10" s="41">
        <f>COUNTIF(MAR!E4:E792,"Sec Comparison")</f>
        <v>0</v>
      </c>
    </row>
    <row r="11" spans="1:13" ht="22.9">
      <c r="A11" s="32" t="str">
        <f>E11</f>
        <v>Amani</v>
      </c>
      <c r="B11" s="4">
        <f>COUNTIF(MAR!D4:D794,"Amani")</f>
        <v>45</v>
      </c>
      <c r="C11" s="2"/>
      <c r="E11" s="31" t="s">
        <v>138</v>
      </c>
      <c r="F11" s="34" t="s">
        <v>269</v>
      </c>
      <c r="G11" s="86"/>
      <c r="H11" s="86"/>
      <c r="I11" s="86"/>
      <c r="J11" s="40" t="s">
        <v>359</v>
      </c>
      <c r="K11" s="41">
        <f>COUNTIF(MAR!E4:E792,"URL Filtering")</f>
        <v>0</v>
      </c>
      <c r="L11" s="42" t="s">
        <v>40</v>
      </c>
      <c r="M11" s="41">
        <f>COUNTIF(MAR!E4:E792,"Health Check")</f>
        <v>11</v>
      </c>
    </row>
    <row r="12" spans="1:13" ht="22.9">
      <c r="A12" s="32" t="str">
        <f>E12</f>
        <v>Menwer</v>
      </c>
      <c r="B12" s="4">
        <f>COUNTIF(MAR!D4:D794,"Menwer")</f>
        <v>57</v>
      </c>
      <c r="C12" s="2"/>
      <c r="E12" s="31" t="s">
        <v>212</v>
      </c>
      <c r="F12" s="34" t="s">
        <v>97</v>
      </c>
      <c r="G12" s="86"/>
      <c r="H12" s="86"/>
      <c r="I12" s="86"/>
      <c r="J12" s="40" t="s">
        <v>47</v>
      </c>
      <c r="K12" s="41">
        <f>COUNTIF(MAR!E4:E792,"IoCs")</f>
        <v>14</v>
      </c>
      <c r="L12" s="42" t="s">
        <v>367</v>
      </c>
      <c r="M12" s="41">
        <f>COUNTIF(MAR!E4:E792,"New HLD")</f>
        <v>0</v>
      </c>
    </row>
    <row r="13" spans="1:13" ht="22.9">
      <c r="A13" s="32" t="str">
        <f>E13</f>
        <v>NA2</v>
      </c>
      <c r="B13" s="4">
        <f>COUNTIF(MAR!D4:D795,"NA2")</f>
        <v>0</v>
      </c>
      <c r="C13" s="2"/>
      <c r="E13" s="31" t="s">
        <v>368</v>
      </c>
      <c r="F13" s="34" t="s">
        <v>94</v>
      </c>
      <c r="G13" s="86"/>
      <c r="H13" s="86"/>
      <c r="I13" s="86"/>
      <c r="J13" s="40" t="s">
        <v>10</v>
      </c>
      <c r="K13" s="41">
        <f>COUNTIF(MAR!E4:E792,"CTI Feeds")</f>
        <v>3</v>
      </c>
      <c r="L13" s="42" t="s">
        <v>369</v>
      </c>
      <c r="M13" s="41">
        <f>COUNTIF(MAR!E4:E792,"New LLD")</f>
        <v>0</v>
      </c>
    </row>
    <row r="14" spans="1:13" ht="21">
      <c r="A14" s="10" t="s">
        <v>370</v>
      </c>
      <c r="B14" s="11">
        <f>SUM(B2:B13)</f>
        <v>339</v>
      </c>
      <c r="C14" s="2"/>
      <c r="F14" s="34" t="s">
        <v>180</v>
      </c>
      <c r="G14" s="86"/>
      <c r="H14" s="86"/>
      <c r="I14" s="86"/>
      <c r="J14" s="40" t="s">
        <v>176</v>
      </c>
      <c r="K14" s="41">
        <f>COUNTIF(MAR!E4:E792,"Threat Analisys")</f>
        <v>4</v>
      </c>
      <c r="L14" s="42" t="s">
        <v>126</v>
      </c>
      <c r="M14" s="41">
        <f>COUNTIF(MAR!E4:E792,"GAP Analisys")</f>
        <v>0</v>
      </c>
    </row>
    <row r="15" spans="1:13" ht="20.45">
      <c r="A15" s="86"/>
      <c r="B15" s="86"/>
      <c r="C15" s="86"/>
      <c r="D15" s="86"/>
      <c r="E15" s="99"/>
      <c r="F15" s="34" t="s">
        <v>265</v>
      </c>
      <c r="G15" s="86"/>
      <c r="H15" s="86"/>
      <c r="I15" s="86"/>
      <c r="J15" s="40" t="s">
        <v>157</v>
      </c>
      <c r="K15" s="41">
        <f>COUNTIF(MAR!E4:E792,"Vulnurabilites")</f>
        <v>8</v>
      </c>
      <c r="L15" s="42" t="s">
        <v>101</v>
      </c>
      <c r="M15" s="41">
        <f>COUNTIF(MAR!E4:E792,"RFP")</f>
        <v>6</v>
      </c>
    </row>
    <row r="16" spans="1:13" ht="20.45">
      <c r="A16" s="86"/>
      <c r="B16" s="86"/>
      <c r="C16" s="86"/>
      <c r="D16" s="86"/>
      <c r="E16" s="99"/>
      <c r="F16" s="34" t="s">
        <v>67</v>
      </c>
      <c r="G16" s="86"/>
      <c r="H16" s="86"/>
      <c r="I16" s="86"/>
      <c r="J16" s="40" t="s">
        <v>269</v>
      </c>
      <c r="K16" s="41">
        <f>COUNTIF(MAR!E4:E792,"Sec Support")</f>
        <v>2</v>
      </c>
      <c r="L16" s="42" t="s">
        <v>371</v>
      </c>
      <c r="M16" s="41">
        <f>COUNTIF(MAR!E4:E792,"CAB")</f>
        <v>0</v>
      </c>
    </row>
    <row r="17" spans="1:13" ht="20.45">
      <c r="A17" s="86"/>
      <c r="B17" s="86"/>
      <c r="C17" s="86"/>
      <c r="D17" s="86"/>
      <c r="E17" s="99"/>
      <c r="F17" s="34" t="s">
        <v>81</v>
      </c>
      <c r="G17" s="86"/>
      <c r="H17" s="86"/>
      <c r="I17" s="86"/>
      <c r="J17" s="40" t="s">
        <v>97</v>
      </c>
      <c r="K17" s="41">
        <f>COUNTIF(MAR!E4:E792,"Ticket")</f>
        <v>2</v>
      </c>
      <c r="L17" s="42" t="s">
        <v>60</v>
      </c>
      <c r="M17" s="41">
        <f>COUNTIF(MAR!E4:E792,"Projects")</f>
        <v>10</v>
      </c>
    </row>
    <row r="18" spans="1:13" ht="20.45">
      <c r="A18" s="86"/>
      <c r="B18" s="86"/>
      <c r="C18" s="86"/>
      <c r="D18" s="86"/>
      <c r="E18" s="99"/>
      <c r="F18" s="34" t="s">
        <v>342</v>
      </c>
      <c r="G18" s="86"/>
      <c r="H18" s="86"/>
      <c r="I18" s="86"/>
      <c r="J18" s="40" t="s">
        <v>94</v>
      </c>
      <c r="K18" s="41">
        <f>COUNTIF(MAR!E4:E792,"Technical Meeting")</f>
        <v>59</v>
      </c>
      <c r="L18" s="42" t="s">
        <v>263</v>
      </c>
      <c r="M18" s="41">
        <f>COUNTIF(MAR!E4:E792,"Reporting")</f>
        <v>4</v>
      </c>
    </row>
    <row r="19" spans="1:13" ht="20.45">
      <c r="A19" s="86"/>
      <c r="B19" s="86"/>
      <c r="C19" s="86"/>
      <c r="D19" s="86"/>
      <c r="E19" s="99"/>
      <c r="F19" s="34" t="s">
        <v>19</v>
      </c>
      <c r="G19" s="86"/>
      <c r="H19" s="86"/>
      <c r="I19" s="86"/>
      <c r="J19" s="40" t="s">
        <v>180</v>
      </c>
      <c r="K19" s="41">
        <f>COUNTIF(MAR!E4:E792,"Sec Investigations")</f>
        <v>21</v>
      </c>
      <c r="L19" s="42" t="s">
        <v>314</v>
      </c>
      <c r="M19" s="41">
        <f>COUNTIF(MAR!E4:E792,"Compliance")</f>
        <v>1</v>
      </c>
    </row>
    <row r="20" spans="1:13" ht="20.45">
      <c r="A20" s="86"/>
      <c r="B20" s="86"/>
      <c r="C20" s="86"/>
      <c r="D20" s="86"/>
      <c r="E20" s="99"/>
      <c r="F20" s="34" t="s">
        <v>372</v>
      </c>
      <c r="G20" s="86"/>
      <c r="H20" s="86"/>
      <c r="I20" s="86"/>
      <c r="J20" s="40" t="s">
        <v>265</v>
      </c>
      <c r="K20" s="41">
        <f>COUNTIF(MAR!E4:E792,"Sec Policy Changes")</f>
        <v>5</v>
      </c>
      <c r="L20" s="42" t="s">
        <v>373</v>
      </c>
      <c r="M20" s="41">
        <f>COUNTIF(MAR!E4:E792,"CR")</f>
        <v>0</v>
      </c>
    </row>
    <row r="21" spans="1:13" ht="20.45">
      <c r="A21" s="86"/>
      <c r="B21" s="86"/>
      <c r="C21" s="86"/>
      <c r="D21" s="86"/>
      <c r="E21" s="99"/>
      <c r="F21" s="34" t="s">
        <v>362</v>
      </c>
      <c r="G21" s="86"/>
      <c r="H21" s="86"/>
      <c r="I21" s="86"/>
      <c r="J21" s="40" t="s">
        <v>67</v>
      </c>
      <c r="K21" s="41">
        <f>COUNTIF(MAR!E4:E792,"Sec Selution Administration ")</f>
        <v>59</v>
      </c>
      <c r="L21" s="42" t="s">
        <v>374</v>
      </c>
      <c r="M21" s="41">
        <f>COUNTIF(MAR!E4:E792,"BRD")</f>
        <v>0</v>
      </c>
    </row>
    <row r="22" spans="1:13" ht="20.45">
      <c r="A22" s="86"/>
      <c r="B22" s="86"/>
      <c r="C22" s="86"/>
      <c r="D22" s="86"/>
      <c r="E22" s="99"/>
      <c r="F22" s="34" t="s">
        <v>363</v>
      </c>
      <c r="G22" s="86"/>
      <c r="H22" s="86"/>
      <c r="I22" s="86"/>
      <c r="J22" s="40" t="s">
        <v>81</v>
      </c>
      <c r="K22" s="41">
        <f>COUNTIF(MAR!E4:E792,"Sec Troubleshooting")</f>
        <v>18</v>
      </c>
      <c r="L22" s="42" t="s">
        <v>375</v>
      </c>
      <c r="M22" s="41">
        <f>COUNTIF(MAR!E4:E792,"Encrypted FLASH")</f>
        <v>0</v>
      </c>
    </row>
    <row r="23" spans="1:13" ht="20.45">
      <c r="A23" s="86"/>
      <c r="B23" s="86"/>
      <c r="C23" s="86"/>
      <c r="D23" s="86"/>
      <c r="E23" s="99"/>
      <c r="F23" s="34" t="s">
        <v>364</v>
      </c>
      <c r="G23" s="86"/>
      <c r="H23" s="86"/>
      <c r="I23" s="86"/>
      <c r="J23" s="40" t="s">
        <v>342</v>
      </c>
      <c r="K23" s="41">
        <f>COUNTIF(MAR!E4:E792,"Sec Implemnt")</f>
        <v>6</v>
      </c>
      <c r="L23" s="42" t="s">
        <v>132</v>
      </c>
      <c r="M23" s="41">
        <f>COUNTIF(MAR!E4:E792,"HASEEN")</f>
        <v>5</v>
      </c>
    </row>
    <row r="24" spans="1:13" ht="20.45">
      <c r="A24" s="86"/>
      <c r="B24" s="86"/>
      <c r="C24" s="86"/>
      <c r="D24" s="86"/>
      <c r="E24" s="99"/>
      <c r="F24" s="34" t="s">
        <v>366</v>
      </c>
      <c r="G24" s="86"/>
      <c r="H24" s="86"/>
      <c r="I24" s="86"/>
      <c r="J24" s="40" t="s">
        <v>19</v>
      </c>
      <c r="K24" s="41">
        <f>COUNTIF(MAR!E4:E792,"Cyber Infra")</f>
        <v>24</v>
      </c>
      <c r="L24" s="42" t="s">
        <v>55</v>
      </c>
      <c r="M24" s="41">
        <f>COUNTIF(MAR!E4:E792,"OTHER")</f>
        <v>9</v>
      </c>
    </row>
    <row r="25" spans="1:13" ht="20.45">
      <c r="A25" s="86"/>
      <c r="B25" s="86"/>
      <c r="C25" s="86"/>
      <c r="D25" s="86"/>
      <c r="E25" s="99"/>
      <c r="F25" s="34" t="s">
        <v>40</v>
      </c>
      <c r="G25" s="86"/>
      <c r="H25" s="86"/>
      <c r="I25" s="86"/>
      <c r="J25" s="40" t="s">
        <v>372</v>
      </c>
      <c r="K25" s="41">
        <f>COUNTIF(MAR!E4:E792,"IT Infra Review")</f>
        <v>0</v>
      </c>
    </row>
    <row r="26" spans="1:13" ht="20.45">
      <c r="A26" s="86"/>
      <c r="B26" s="86"/>
      <c r="C26" s="86"/>
      <c r="D26" s="86"/>
      <c r="E26" s="99"/>
      <c r="F26" s="34" t="s">
        <v>367</v>
      </c>
      <c r="G26" s="86"/>
      <c r="H26" s="86"/>
      <c r="I26" s="86"/>
    </row>
    <row r="27" spans="1:13" ht="20.45">
      <c r="A27" s="86"/>
      <c r="B27" s="86"/>
      <c r="C27" s="86"/>
      <c r="D27" s="86"/>
      <c r="E27" s="99"/>
      <c r="F27" s="34" t="s">
        <v>369</v>
      </c>
      <c r="G27" s="86"/>
      <c r="H27" s="86"/>
      <c r="I27" s="86"/>
    </row>
    <row r="28" spans="1:13" ht="20.45">
      <c r="A28" s="86"/>
      <c r="B28" s="86"/>
      <c r="C28" s="86"/>
      <c r="D28" s="86"/>
      <c r="E28" s="99"/>
      <c r="F28" s="34" t="s">
        <v>126</v>
      </c>
      <c r="G28" s="86"/>
      <c r="H28" s="86"/>
      <c r="I28" s="86"/>
      <c r="J28" s="40" t="s">
        <v>376</v>
      </c>
    </row>
    <row r="29" spans="1:13" ht="20.45">
      <c r="A29" s="86"/>
      <c r="B29" s="86"/>
      <c r="C29" s="86"/>
      <c r="D29" s="86"/>
      <c r="E29" s="99"/>
      <c r="F29" s="34" t="s">
        <v>101</v>
      </c>
      <c r="G29" s="86"/>
      <c r="H29" s="86"/>
      <c r="I29" s="86"/>
      <c r="J29" s="43" t="s">
        <v>371</v>
      </c>
      <c r="K29" s="44"/>
    </row>
    <row r="30" spans="1:13" ht="20.45">
      <c r="A30" s="86"/>
      <c r="B30" s="86"/>
      <c r="C30" s="86"/>
      <c r="D30" s="86"/>
      <c r="E30" s="99"/>
      <c r="F30" s="34" t="s">
        <v>371</v>
      </c>
      <c r="G30" s="86"/>
      <c r="H30" s="86"/>
      <c r="I30" s="86"/>
      <c r="J30" s="43" t="s">
        <v>377</v>
      </c>
      <c r="K30" s="44"/>
    </row>
    <row r="31" spans="1:13" ht="20.45">
      <c r="A31" s="86"/>
      <c r="B31" s="86"/>
      <c r="C31" s="86"/>
      <c r="D31" s="86"/>
      <c r="E31" s="99"/>
      <c r="F31" s="34" t="s">
        <v>60</v>
      </c>
      <c r="G31" s="86"/>
      <c r="H31" s="86"/>
      <c r="I31" s="86"/>
      <c r="J31" s="43" t="s">
        <v>97</v>
      </c>
      <c r="K31" s="44"/>
    </row>
    <row r="32" spans="1:13" ht="20.45">
      <c r="A32" s="86"/>
      <c r="B32" s="86"/>
      <c r="C32" s="86"/>
      <c r="D32" s="86"/>
      <c r="E32" s="99"/>
      <c r="F32" s="34" t="s">
        <v>263</v>
      </c>
      <c r="G32" s="86"/>
      <c r="H32" s="86"/>
      <c r="I32" s="86"/>
      <c r="J32" s="43" t="s">
        <v>378</v>
      </c>
      <c r="K32" s="44"/>
      <c r="L32" s="40" t="s">
        <v>379</v>
      </c>
    </row>
    <row r="33" spans="1:13" ht="20.45">
      <c r="A33" s="86"/>
      <c r="B33" s="86"/>
      <c r="C33" s="86"/>
      <c r="D33" s="86"/>
      <c r="E33" s="99"/>
      <c r="F33" s="34" t="s">
        <v>314</v>
      </c>
      <c r="G33" s="86"/>
      <c r="H33" s="86"/>
      <c r="I33" s="86"/>
      <c r="J33" s="46" t="s">
        <v>380</v>
      </c>
      <c r="K33" s="44"/>
      <c r="L33" s="45"/>
    </row>
    <row r="34" spans="1:13" ht="20.45">
      <c r="C34" s="2"/>
      <c r="F34" s="34" t="s">
        <v>373</v>
      </c>
      <c r="G34" s="86"/>
      <c r="H34" s="86"/>
      <c r="I34" s="86"/>
      <c r="J34" s="46" t="s">
        <v>381</v>
      </c>
      <c r="K34" s="44"/>
      <c r="L34" s="44"/>
      <c r="M34" s="40"/>
    </row>
    <row r="35" spans="1:13" ht="20.45">
      <c r="C35" s="2"/>
      <c r="F35" s="34" t="s">
        <v>374</v>
      </c>
      <c r="G35" s="86"/>
      <c r="H35" s="86"/>
      <c r="I35" s="86"/>
      <c r="J35" s="46" t="s">
        <v>382</v>
      </c>
      <c r="K35" s="44"/>
      <c r="L35" s="44"/>
      <c r="M35" s="40"/>
    </row>
    <row r="36" spans="1:13" ht="20.45">
      <c r="C36" s="2"/>
      <c r="F36" s="34" t="s">
        <v>375</v>
      </c>
      <c r="G36" s="86"/>
      <c r="H36" s="86"/>
      <c r="I36" s="86"/>
      <c r="K36" s="45"/>
      <c r="L36" s="44"/>
      <c r="M36" s="40"/>
    </row>
    <row r="37" spans="1:13" ht="20.45">
      <c r="C37" s="2"/>
      <c r="F37" s="34" t="s">
        <v>132</v>
      </c>
      <c r="G37" s="86"/>
      <c r="H37" s="86"/>
      <c r="I37" s="86"/>
      <c r="J37" s="40" t="s">
        <v>383</v>
      </c>
      <c r="K37" s="93">
        <f>SUM(K36,L33)</f>
        <v>0</v>
      </c>
      <c r="L37" s="94"/>
    </row>
    <row r="38" spans="1:13" ht="20.45">
      <c r="C38" s="2"/>
      <c r="F38" s="34" t="s">
        <v>55</v>
      </c>
      <c r="G38" s="86"/>
      <c r="H38" s="86"/>
      <c r="I38" s="86"/>
    </row>
    <row r="39" spans="1:13" ht="14.45" customHeight="1">
      <c r="C39" s="2"/>
      <c r="F39" s="85"/>
      <c r="G39" s="86"/>
      <c r="H39" s="86"/>
      <c r="I39" s="86"/>
    </row>
    <row r="40" spans="1:13" ht="14.45" customHeight="1">
      <c r="C40" s="2"/>
      <c r="F40" s="86"/>
      <c r="G40" s="86"/>
      <c r="H40" s="86"/>
      <c r="I40" s="86"/>
    </row>
    <row r="41" spans="1:13" ht="14.45" customHeight="1">
      <c r="C41" s="2"/>
      <c r="F41" s="86"/>
      <c r="G41" s="86"/>
      <c r="H41" s="86"/>
      <c r="I41" s="86"/>
    </row>
    <row r="42" spans="1:13" ht="14.45" customHeight="1">
      <c r="C42" s="2"/>
      <c r="F42" s="86"/>
      <c r="G42" s="86"/>
      <c r="H42" s="86"/>
      <c r="I42" s="86"/>
    </row>
    <row r="43" spans="1:13" ht="14.45" customHeight="1">
      <c r="C43" s="2"/>
      <c r="F43" s="86"/>
      <c r="G43" s="86"/>
      <c r="H43" s="86"/>
      <c r="I43" s="86"/>
    </row>
  </sheetData>
  <mergeCells count="7">
    <mergeCell ref="K37:L37"/>
    <mergeCell ref="I1:I5"/>
    <mergeCell ref="C1:D9"/>
    <mergeCell ref="F39:F43"/>
    <mergeCell ref="G6:I43"/>
    <mergeCell ref="G1:G5"/>
    <mergeCell ref="A15:E33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3:E16"/>
  <sheetViews>
    <sheetView workbookViewId="0">
      <selection activeCell="E22" sqref="E22"/>
    </sheetView>
  </sheetViews>
  <sheetFormatPr defaultRowHeight="14.45"/>
  <cols>
    <col min="5" max="5" width="18.5703125" customWidth="1"/>
  </cols>
  <sheetData>
    <row r="3" spans="4:5" ht="15" thickBot="1"/>
    <row r="4" spans="4:5" ht="15.6" thickTop="1" thickBot="1">
      <c r="E4" s="35" t="s">
        <v>384</v>
      </c>
    </row>
    <row r="5" spans="4:5" ht="15.6" thickTop="1" thickBot="1">
      <c r="D5" t="s">
        <v>353</v>
      </c>
      <c r="E5" s="35">
        <f>COUNTIF(MAR!E4:E794,"FCR")</f>
        <v>0</v>
      </c>
    </row>
    <row r="6" spans="4:5" ht="15.6" thickTop="1" thickBot="1">
      <c r="E6" s="35"/>
    </row>
    <row r="7" spans="4:5" ht="15.6" thickTop="1" thickBot="1">
      <c r="E7" s="35"/>
    </row>
    <row r="8" spans="4:5" ht="15.6" thickTop="1" thickBot="1">
      <c r="E8" s="35"/>
    </row>
    <row r="9" spans="4:5" ht="15.6" thickTop="1" thickBot="1">
      <c r="E9" s="35"/>
    </row>
    <row r="10" spans="4:5" ht="15.6" thickTop="1" thickBot="1">
      <c r="E10" s="35"/>
    </row>
    <row r="11" spans="4:5" ht="15.6" thickTop="1" thickBot="1">
      <c r="E11" s="35"/>
    </row>
    <row r="12" spans="4:5" ht="15.6" thickTop="1" thickBot="1">
      <c r="E12" s="35"/>
    </row>
    <row r="13" spans="4:5" ht="15.6" thickTop="1" thickBot="1">
      <c r="E13" s="35"/>
    </row>
    <row r="14" spans="4:5" ht="15.6" thickTop="1" thickBot="1">
      <c r="E14" s="35"/>
    </row>
    <row r="15" spans="4:5" ht="15.6" thickTop="1" thickBot="1">
      <c r="E15" s="35"/>
    </row>
    <row r="16" spans="4:5" ht="15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Swapnil Wale</dc:creator>
  <cp:keywords/>
  <dc:description/>
  <cp:lastModifiedBy>Mohammed Ageeli</cp:lastModifiedBy>
  <cp:revision/>
  <dcterms:created xsi:type="dcterms:W3CDTF">2016-08-31T10:48:09Z</dcterms:created>
  <dcterms:modified xsi:type="dcterms:W3CDTF">2025-06-15T09:45:30Z</dcterms:modified>
  <cp:category/>
  <cp:contentStatus/>
</cp:coreProperties>
</file>