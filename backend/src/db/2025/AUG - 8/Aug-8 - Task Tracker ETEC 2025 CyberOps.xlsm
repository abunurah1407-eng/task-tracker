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9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.saleem\Desktop\2025\"/>
    </mc:Choice>
  </mc:AlternateContent>
  <xr:revisionPtr revIDLastSave="1836" documentId="11_8E3C7C7A6A597B63E71C788C5BF4B1132806134C" xr6:coauthVersionLast="47" xr6:coauthVersionMax="47" xr10:uidLastSave="{86761697-0CDA-4DF1-A3EB-1D2AFBFB4F7E}"/>
  <bookViews>
    <workbookView xWindow="0" yWindow="0" windowWidth="23040" windowHeight="9192" xr2:uid="{00000000-000D-0000-FFFF-FFFF00000000}"/>
  </bookViews>
  <sheets>
    <sheet name="Aug" sheetId="1" r:id="rId1"/>
    <sheet name="Summery" sheetId="3" r:id="rId2"/>
    <sheet name="احصائيات" sheetId="4" state="hidden" r:id="rId3"/>
  </sheets>
  <definedNames>
    <definedName name="_xlnm._FilterDatabase" localSheetId="0" hidden="1">Aug!$B$3:$F$815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2" i="3" l="1"/>
  <c r="K9" i="3"/>
  <c r="M23" i="3"/>
  <c r="K22" i="3"/>
  <c r="K21" i="3"/>
  <c r="K19" i="3"/>
  <c r="B8" i="3"/>
  <c r="B12" i="3"/>
  <c r="B13" i="3"/>
  <c r="B11" i="3"/>
  <c r="B10" i="3"/>
  <c r="B9" i="3"/>
  <c r="B7" i="3"/>
  <c r="B6" i="3"/>
  <c r="B5" i="3"/>
  <c r="B4" i="3"/>
  <c r="B3" i="3"/>
  <c r="B2" i="3"/>
  <c r="M24" i="3" l="1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K25" i="3"/>
  <c r="K24" i="3"/>
  <c r="K23" i="3"/>
  <c r="K20" i="3"/>
  <c r="K18" i="3"/>
  <c r="K17" i="3"/>
  <c r="K16" i="3"/>
  <c r="K15" i="3"/>
  <c r="K14" i="3"/>
  <c r="K13" i="3"/>
  <c r="K11" i="3"/>
  <c r="K10" i="3"/>
  <c r="K8" i="3"/>
  <c r="K7" i="3"/>
  <c r="I8" i="1"/>
  <c r="I6" i="1"/>
  <c r="I5" i="1"/>
  <c r="I4" i="1"/>
  <c r="A13" i="3" l="1"/>
  <c r="A10" i="3" l="1"/>
  <c r="A12" i="3"/>
  <c r="A2" i="3" l="1"/>
  <c r="K37" i="3" l="1"/>
  <c r="E5" i="4" l="1"/>
  <c r="A9" i="3"/>
  <c r="A11" i="3"/>
  <c r="I7" i="1"/>
  <c r="B14" i="3" l="1"/>
  <c r="I9" i="1"/>
  <c r="A7" i="3"/>
  <c r="A6" i="3"/>
  <c r="A5" i="3"/>
  <c r="A4" i="3" l="1"/>
  <c r="A3" i="3" l="1"/>
  <c r="A8" i="3"/>
</calcChain>
</file>

<file path=xl/sharedStrings.xml><?xml version="1.0" encoding="utf-8"?>
<sst xmlns="http://schemas.openxmlformats.org/spreadsheetml/2006/main" count="4890" uniqueCount="828">
  <si>
    <t>No</t>
  </si>
  <si>
    <t xml:space="preserve">Task Description  </t>
  </si>
  <si>
    <t>Week</t>
  </si>
  <si>
    <t>Engineer</t>
  </si>
  <si>
    <t>Services List</t>
  </si>
  <si>
    <t>Status</t>
  </si>
  <si>
    <t>Tasks Status Overall</t>
  </si>
  <si>
    <t>Case # 2709087 Assets identified wrongly</t>
  </si>
  <si>
    <t>Week 1</t>
  </si>
  <si>
    <t>Amani</t>
  </si>
  <si>
    <t>Sec Troubleshooting</t>
  </si>
  <si>
    <t>Completed</t>
  </si>
  <si>
    <t>Pending</t>
  </si>
  <si>
    <t>طلب دعم لإظهار كلمة مرور حساب EC</t>
  </si>
  <si>
    <t xml:space="preserve">Sec Selution Administration </t>
  </si>
  <si>
    <t>In Progress</t>
  </si>
  <si>
    <t>Maximize the Value of Qualys Platform</t>
  </si>
  <si>
    <t>Technical Meeting</t>
  </si>
  <si>
    <t>Qualys platform configurations</t>
  </si>
  <si>
    <t xml:space="preserve">Escalation </t>
  </si>
  <si>
    <t>blocked the requested Emails on Proofpoint</t>
  </si>
  <si>
    <t>Wed</t>
  </si>
  <si>
    <t>IoCs</t>
  </si>
  <si>
    <t>Hold</t>
  </si>
  <si>
    <t xml:space="preserve"> meeting with Eng. Milaf  | Cyble,  leaked credentials </t>
  </si>
  <si>
    <t>A.Driwesh</t>
  </si>
  <si>
    <t xml:space="preserve">Total </t>
  </si>
  <si>
    <t xml:space="preserve"> meeting with Eng. Milaf | Cyble,  leaked credentials and copromised endpoints</t>
  </si>
  <si>
    <t xml:space="preserve"> meeting with Eng. Milaf  | proofpiont,  IOCs.</t>
  </si>
  <si>
    <t xml:space="preserve">e- mail to Cyber Ops to block malicious IP </t>
  </si>
  <si>
    <t>SOC Alerts</t>
  </si>
  <si>
    <t>e- mail Investigation Request to SD SOC lead Abdulaziz | an alert with malicious activity was closed without being sent from SD SOC to E.SOC</t>
  </si>
  <si>
    <t xml:space="preserve">INC#2508-11 ETEC- Client Requests Malicious Website </t>
  </si>
  <si>
    <t>INC#2508-25  ETEC- Client Requests Malicious Website</t>
  </si>
  <si>
    <t>INC#2508-23 NCA-0023-0006:1212 Credential Access-ZeroLogon2</t>
  </si>
  <si>
    <t>INC#2508-27 A NCA-0023-0006:1212 Credential Access-ZeroLogon2</t>
  </si>
  <si>
    <t xml:space="preserve">INC#2508-22 Directory Traversal Attempt </t>
  </si>
  <si>
    <t xml:space="preserve">e-mail to Eng. Mohammed AlShahrani | Trend Micro Vulnerability </t>
  </si>
  <si>
    <t>Reporting</t>
  </si>
  <si>
    <t xml:space="preserve"> تسريب على الخدمات الخاصة بالهيئة | 04/08</t>
  </si>
  <si>
    <t xml:space="preserve">INC#2508-39 SD -EDR Detection - Malicious Activity Detected </t>
  </si>
  <si>
    <t xml:space="preserve">INC#2508-40 ETEC – Suspicious Admin URL Access </t>
  </si>
  <si>
    <t xml:space="preserve"> meeting with Eng. Milaf and Eng. Sultan | investigation on Email sent to multiple recipient  </t>
  </si>
  <si>
    <t xml:space="preserve"> meeting with Eng. Sultan | malicious IP was not blocked in cloudflare </t>
  </si>
  <si>
    <t xml:space="preserve"> WeeklyMeeting | SD </t>
  </si>
  <si>
    <t xml:space="preserve">   ورشة تعريفية - Algosec</t>
  </si>
  <si>
    <t xml:space="preserve">Cyble - analysing -   تسريب على الخدمات الخاصة بالهيئة </t>
  </si>
  <si>
    <t>RE: Assistance Required | Qualys Cloud Agent Installation on Linux servers</t>
  </si>
  <si>
    <t>M.Aqily</t>
  </si>
  <si>
    <t>EDR issue</t>
  </si>
  <si>
    <t>Upload Linux Qualys Cloud Agent on kite works for Ahmed Ashraf</t>
  </si>
  <si>
    <t xml:space="preserve"> مشكلة في الدخول  على المنصة - البتول باسم</t>
  </si>
  <si>
    <t>مشكلة الدخول على  edrive - تركي العنزي</t>
  </si>
  <si>
    <t xml:space="preserve">RE: Qualys Scan Issue </t>
  </si>
  <si>
    <t>Qualys helthcheck meeting to review the configs</t>
  </si>
  <si>
    <t>Trend Micro Vulnerability for apex one</t>
  </si>
  <si>
    <t>Nessus meeting for upgrade to linux 8</t>
  </si>
  <si>
    <t>جلسة نقاش مبسطة لتعزيز تفعيل نظام حماية البينات والتصنيف</t>
  </si>
  <si>
    <t>Trend Micro Deep Security Agent Certificate Expiration – Upgrade Recommended</t>
  </si>
  <si>
    <t>مشكلة حساب الدكتورة ايمان منصة امن</t>
  </si>
  <si>
    <t>Windows servers Issues with Qualys Cloud Agent</t>
  </si>
  <si>
    <t xml:space="preserve"> create a new dashboard for Qualys FMDR</t>
  </si>
  <si>
    <t>Request for Support in Offline upgrade for Kiteworks with DSSHIELD</t>
  </si>
  <si>
    <t xml:space="preserve"> RE: بخصوص  الأجتماع المتعلق بتقرير الـ Health Check- SIEM</t>
  </si>
  <si>
    <t>Health Check- Cyble</t>
  </si>
  <si>
    <t>Health Check EDR - discussion for report</t>
  </si>
  <si>
    <t xml:space="preserve"> RE: طلب أدلة الهيئة الوطنية للأمن السيبراني - إدارة عمليات الأمن السيبراني</t>
  </si>
  <si>
    <t>CR for cap members to push the  Cloud Agent on Linux servers</t>
  </si>
  <si>
    <t>EDR issue with server error</t>
  </si>
  <si>
    <t xml:space="preserve"> Request for Support: Failed to get License</t>
  </si>
  <si>
    <t xml:space="preserve">Fortinetn Proxy - license issue </t>
  </si>
  <si>
    <t>INC#2508-76 Blocking IP</t>
  </si>
  <si>
    <t>INC#2508-79 Blocking IP</t>
  </si>
  <si>
    <t>INC#2508-84 Blocking IP</t>
  </si>
  <si>
    <t>INC#2508-85 Blocking IP</t>
  </si>
  <si>
    <t>INC#2508-82 Blocking IP</t>
  </si>
  <si>
    <t>INC#2508-89 Blocking IP</t>
  </si>
  <si>
    <t>Blocking IPs From TI</t>
  </si>
  <si>
    <t>Email release on ProofPoint</t>
  </si>
  <si>
    <t>Deep Security windows list</t>
  </si>
  <si>
    <t>Review Cyber Control</t>
  </si>
  <si>
    <t>RE: حساب منصة آمن - Sulaiman Alhussan</t>
  </si>
  <si>
    <t>INC#2508-80 Blocking domains</t>
  </si>
  <si>
    <t>RE: Unable to reset your "ETEC Edrive" password for Sultan Alkhuzam  from KSU</t>
  </si>
  <si>
    <t xml:space="preserve">Meeting with Eng. Milaf | CS-INCIDENT </t>
  </si>
  <si>
    <t>Week 2</t>
  </si>
  <si>
    <t xml:space="preserve">meeting with Eng. Sultan and Eng.Ghaida | SSH </t>
  </si>
  <si>
    <t xml:space="preserve">Meeting with Eng. Milaf | Cyble leaked credentials </t>
  </si>
  <si>
    <t>Malicious IPs related to Ngrok</t>
  </si>
  <si>
    <t>e-mail to SD SOC | Ticket Number is Required</t>
  </si>
  <si>
    <t xml:space="preserve">implement new Rules in EDR </t>
  </si>
  <si>
    <t>Sec Implemnt</t>
  </si>
  <si>
    <t xml:space="preserve">sweep IoCs on our SIEM from Hassen |  Weekly Threat Intelligence Brief (01 Aug 2025 – 07 Aug 2025) </t>
  </si>
  <si>
    <t>INC#2508-84 Blocking IoCs</t>
  </si>
  <si>
    <t>INC#2508-85 Blocking IoCs</t>
  </si>
  <si>
    <t>INC#2508-82 Blocking IoCs</t>
  </si>
  <si>
    <t>INC#2508-89 Blocking IoCs</t>
  </si>
  <si>
    <t>INC#2508-98 Blocking IoCs</t>
  </si>
  <si>
    <t>INC#2508-102 Blocking IoCs</t>
  </si>
  <si>
    <t>INC#2508-66 Blocking IoCs</t>
  </si>
  <si>
    <t>INC#2508-91 Blocking IoCs</t>
  </si>
  <si>
    <t>INC#2508-68 Blocking IoCs</t>
  </si>
  <si>
    <t>INC#2508-107 Blocking IoCs</t>
  </si>
  <si>
    <t>Blocking Haseen IoCs Threat Intelligence Brief (01 Aug 2025 – 07 Aug 2025)</t>
  </si>
  <si>
    <t>HASEEN</t>
  </si>
  <si>
    <t>Deep Security Agent - Linux meeting with Eng. mohammed Alshahrani</t>
  </si>
  <si>
    <t>Blocking IOCs  {CS-INCIDENT} 13/8</t>
  </si>
  <si>
    <t>Granting PAM server access</t>
  </si>
  <si>
    <t>INC#2508-75  Suspicious Admin URL Access | block the IP</t>
  </si>
  <si>
    <t>INC#2508-76 ETEC -Potential_Path_Brute_Forcing | block the IP</t>
  </si>
  <si>
    <t>INC#2508-77 High or Critical Priority Host With Malware Detected | block the IP</t>
  </si>
  <si>
    <t>INC#2508-79 ETEC - WAF Detection – Suspicious User Agent  | block the IP</t>
  </si>
  <si>
    <t>INC#2508-80 ETEC- Client Requests Malicious Website | block the IP</t>
  </si>
  <si>
    <t>INC#2508-84 Directory Traversal Attempt   | block the IP</t>
  </si>
  <si>
    <t>INC#2508-85 Suspicious Admin URL Access | block the IP</t>
  </si>
  <si>
    <t>INC#2508-89 Directory Traversal Attempt | block the IP</t>
  </si>
  <si>
    <t>INC#2508-98 ETEC - WAF Detection – Suspicious User Agent  | block the IP</t>
  </si>
  <si>
    <t>INC#2508-107 Suspicious Admin URL Access  | block the IP</t>
  </si>
  <si>
    <t xml:space="preserve">INC#2508-114 Suspicious Admin URL Access | the IP has been blocked </t>
  </si>
  <si>
    <t>Week 3</t>
  </si>
  <si>
    <t xml:space="preserve">INC#2508-115 Directory Traversal Attempt | the IP has been blocked </t>
  </si>
  <si>
    <t xml:space="preserve">INC#2508-117 Suspicious Admin URL Access | the IP has been blocked </t>
  </si>
  <si>
    <t xml:space="preserve">INC#2508-118 Internal Vertical Port Scan | investigated with Eng. Abdullah  </t>
  </si>
  <si>
    <t>INC#2508-121 High_Number_of_Emails_From_External_Source | the IoCs have been blocked</t>
  </si>
  <si>
    <t>INC#2508-122 Client Requests Malicious Website | the domain has been blocked</t>
  </si>
  <si>
    <t>INC#2508-123 High_Number_of_Emails_From_External_Source | the IoCs have been blocked</t>
  </si>
  <si>
    <t xml:space="preserve">INC#2508-124 External XSS Attempt via WAF | the IP has been blocked </t>
  </si>
  <si>
    <t>INC#2508-126 High_Number_of_Emails_From_External_Source | the IoCs have been blocked</t>
  </si>
  <si>
    <t>INC#2508-127 RDP_OVER_Non-Standard_Ports | the IoCs have been blocked</t>
  </si>
  <si>
    <t xml:space="preserve">INC#2508-138 High_Number_of_Emails_From_External_Source | normal </t>
  </si>
  <si>
    <t>INC#2508-138 A Client Requests Malicious Website | the domain has been blocked</t>
  </si>
  <si>
    <t xml:space="preserve">INC#2508-147 High or Critical Priority Host With Malware Detected  | related to PT Team </t>
  </si>
  <si>
    <t>implemented Rule on EDR | ETEC - NCA-0002-0009.1005 - Collection - Robocopy Tool</t>
  </si>
  <si>
    <t>implemented Rule on EDR | ETEC NCA-0005-0002.1047 Execution – WMI</t>
  </si>
  <si>
    <t>implemented Rule on EDR | ETEC NCA-0004-0003.1505.003Persistence-WebshellDetectionFilewrite</t>
  </si>
  <si>
    <t>implemented Rule on EDR | ETEC NCA-0004-0002.1059.003 Execution - SQLCmd (Windows Events)</t>
  </si>
  <si>
    <t>implement a new Rule on EDR | ETEC NCA-0017-0006.1003CredentialAccess-SuspiciousLSASSAccess</t>
  </si>
  <si>
    <t>implement a new Rule on EDR | ETEC NCA-0022-0006.1212 Credential Access – ZeroLogon</t>
  </si>
  <si>
    <t>implement a new Rule on EDR | ETEC NCA-0008-0004.1068 Privilege Escalation - CallBackHell</t>
  </si>
  <si>
    <t xml:space="preserve">implement a new Rule on EDR | ETEC NCA-0002-0003.1505.003 Persistence - Webshell Detection Process Execution </t>
  </si>
  <si>
    <t>implement a new Rule on EDR | ETEC NCA-0001-0005-1036.005 Defense Evasion - Match Legitimate Name or Location</t>
  </si>
  <si>
    <t>implement a new Rule on EDR | ETEC NCA-0003-0009.1560.001 Collection - Archive via Utility</t>
  </si>
  <si>
    <t>Health Check Cyble with SD</t>
  </si>
  <si>
    <t>mailcious domains and IP seem to be part of a phishing campaign | this investigation was with Eng. Milaf</t>
  </si>
  <si>
    <t>Sec Investigations</t>
  </si>
  <si>
    <t xml:space="preserve">Malicious IoCs from Splunk | with Eng. Milaf </t>
  </si>
  <si>
    <t xml:space="preserve">RE: Ticket Number is Required | resolved SD sent a new ticket </t>
  </si>
  <si>
    <t>handle and investigate an alert from Proofpint | Attachment Defense Alert, malicious email was sent to two recipients sgr@etec.gov.sa and info@etec.gov.sa</t>
  </si>
  <si>
    <t>handle and investigate on SIEM with Eng. Sultan 19/08/2025</t>
  </si>
  <si>
    <t xml:space="preserve"> ETEC - WAF Detection - Suspicious User Agent | malicious IPs have been blocked</t>
  </si>
  <si>
    <t>Malicious IPs Identified | on our SIEM this was with Eng. Milaf</t>
  </si>
  <si>
    <t xml:space="preserve">ETEC - Client Requests Malicious Website | malicious Domains have been blocked </t>
  </si>
  <si>
    <t>handle and investigate an alert from Proofpint | Attachment Defense Alert, malicious emails were sent to Info@etec.gov.sa and the IoCs have been blocked</t>
  </si>
  <si>
    <t xml:space="preserve">جلسة نقاش مبسطة لتعزيز تفعيل نظام حماية البينات والتصنيف </t>
  </si>
  <si>
    <t>Pending Tasks of last meeting - DLP- ETEC</t>
  </si>
  <si>
    <t>تحميل سيرفرات ويندوز</t>
  </si>
  <si>
    <t>Blocking IoCs INC#2508-173</t>
  </si>
  <si>
    <t>Week 4</t>
  </si>
  <si>
    <t>Blocking IoCs INC#2508-174</t>
  </si>
  <si>
    <t>Blocking IoCs INC#2508-177</t>
  </si>
  <si>
    <t>Blocking IoCs INC#2508-180</t>
  </si>
  <si>
    <t>Blocking IoCs INC#2508-188</t>
  </si>
  <si>
    <t>Blocking IoCs INC#2508-185</t>
  </si>
  <si>
    <t>Blocking IoCs INC#2508-158</t>
  </si>
  <si>
    <t>Blocking IoCs INC#2508-183</t>
  </si>
  <si>
    <t>Blocking IoCs from TI</t>
  </si>
  <si>
    <t>Blocking IoCs INC#2508-155</t>
  </si>
  <si>
    <t>Blocking IoCs INC#2508-162</t>
  </si>
  <si>
    <t>Blocking IoCs INC#2508-152</t>
  </si>
  <si>
    <t>Blocking IoCs INC#2508-106</t>
  </si>
  <si>
    <t>Activating Deep Security servers and checking if all security controls is installed</t>
  </si>
  <si>
    <t>DDD update meeting with eng. Mohammed</t>
  </si>
  <si>
    <r>
      <rPr>
        <sz val="14"/>
        <color rgb="FF000000"/>
        <rFont val="Arial"/>
      </rPr>
      <t xml:space="preserve">TrendMicro ticket  </t>
    </r>
    <r>
      <rPr>
        <b/>
        <sz val="14"/>
        <color rgb="FF000000"/>
        <rFont val="Arial"/>
      </rPr>
      <t>TM-03737547</t>
    </r>
    <r>
      <rPr>
        <sz val="14"/>
        <color rgb="FF000000"/>
        <rFont val="Arial"/>
      </rPr>
      <t xml:space="preserve"> SMEX "End users not receiving quarantine notifications"</t>
    </r>
  </si>
  <si>
    <t>Ticket</t>
  </si>
  <si>
    <r>
      <rPr>
        <sz val="14"/>
        <color rgb="FF000000"/>
        <rFont val="Arial"/>
      </rPr>
      <t xml:space="preserve">TrendMicro ticket  </t>
    </r>
    <r>
      <rPr>
        <b/>
        <sz val="14"/>
        <color rgb="FF000000"/>
        <rFont val="Arial"/>
      </rPr>
      <t>TM-03741796</t>
    </r>
    <r>
      <rPr>
        <sz val="14"/>
        <color rgb="FF000000"/>
        <rFont val="Arial"/>
      </rPr>
      <t xml:space="preserve"> SMEX "End users not receiving quarantine notifications"</t>
    </r>
  </si>
  <si>
    <r>
      <rPr>
        <sz val="14"/>
        <color rgb="FF000000"/>
        <rFont val="Arial"/>
      </rPr>
      <t xml:space="preserve">TrendMicro ticket  </t>
    </r>
    <r>
      <rPr>
        <b/>
        <sz val="14"/>
        <color rgb="FF000000"/>
        <rFont val="Arial"/>
      </rPr>
      <t>TM-03743476</t>
    </r>
    <r>
      <rPr>
        <sz val="14"/>
        <color rgb="FF000000"/>
        <rFont val="Arial"/>
      </rPr>
      <t xml:space="preserve"> "Deep Security Agent Docker"</t>
    </r>
  </si>
  <si>
    <t>TrendMicro ticket TM-03741796 SMEX "End users not receiving quarantine notifications" Meeting with eng. Mohammed and eng. Ghaida</t>
  </si>
  <si>
    <t>Email release for "M.BinQuwead@etec.gov.sa" - ESA [22507396]</t>
  </si>
  <si>
    <t>Ghaida</t>
  </si>
  <si>
    <t>Sec Support</t>
  </si>
  <si>
    <t>Email release for "M.BinQuwead@etec.gov.sa" - ESA [22508426]</t>
  </si>
  <si>
    <t>Block IoCs from (INC#2507-279)</t>
  </si>
  <si>
    <t>Block IoCs from (INC#2508-8)</t>
  </si>
  <si>
    <t>Email release for "M.Khames@etec.gov.sa" - ESA [22536290]</t>
  </si>
  <si>
    <t>Block IoCs from (INC#2508-7)</t>
  </si>
  <si>
    <t>Block IoCs from (RE: Investigation Request)</t>
  </si>
  <si>
    <t>Email release for "b.sharbi@etec.gov.sa" - PP</t>
  </si>
  <si>
    <t>Provide Macro access for (إتاحة صلاحية استخدام أداة الماكرو)</t>
  </si>
  <si>
    <t>Sec Policy Changes</t>
  </si>
  <si>
    <t>Reply to "T.Alenezi@etec.gov.sa" about Edrive</t>
  </si>
  <si>
    <t>Block IoCs from (RE: Block IOCs {proofpoint})</t>
  </si>
  <si>
    <t>Provide PAM access for "g.kilani" on requested servers</t>
  </si>
  <si>
    <t>Block IoCs from (INC#2507-308)</t>
  </si>
  <si>
    <t>Block IoCs from (INC#2508-21)</t>
  </si>
  <si>
    <t>Block IoCs from (RE: Block IP)</t>
  </si>
  <si>
    <t>Email release for "K.Shebily@etec.gov.sa" - ESA [22567421]</t>
  </si>
  <si>
    <t>Check and install security services on servers fro (RE: تطبيق نظام الاتصالات الادارية الجديد - متطلبات الأمن السيبراني لإطلاق الأنظمة)</t>
  </si>
  <si>
    <t>Block IoCs from (INC#2508-11 )</t>
  </si>
  <si>
    <t>Edrive account activation for "r.daham@etec.gov.sa"</t>
  </si>
  <si>
    <t>Provide USB access for "M.Khames@etec.gov.sa" (RE: صلاحية USB )</t>
  </si>
  <si>
    <t>install DS agents for (RE: Machine for testing purpose)</t>
  </si>
  <si>
    <t>Block IoCs from (RE: Block IOCs {CS-INCIDENT))</t>
  </si>
  <si>
    <t>Block IoCs from (INC#2508-25)</t>
  </si>
  <si>
    <t>Edrive account activation for "abdullah.666@csmail.edu.sa"</t>
  </si>
  <si>
    <t>Email release for "a.hsubaie@etec.gov.sa" - SMEX</t>
  </si>
  <si>
    <t>Provide PAM access for "i.qandil" on requested servers</t>
  </si>
  <si>
    <t>Share and block IoCs from (RE: Information Sharing Service)</t>
  </si>
  <si>
    <t>Email release for "M.Khames@etec.gov.sa" - ESA [22605070]</t>
  </si>
  <si>
    <t>Block IoCs from (INC#2508-32)</t>
  </si>
  <si>
    <t>Email release for "h.sbalawi@etec.gov.sa" - ESA [22604967]</t>
  </si>
  <si>
    <t>Provide PAM access for "Y.Butt" on requested servers</t>
  </si>
  <si>
    <t>Provide PAM access for "I.HEGAZY" on requested servers</t>
  </si>
  <si>
    <t>Provide PAM access for "r.alhrabi" on requested servers</t>
  </si>
  <si>
    <t>Provide PAM access for "Aelogail" on requested servers</t>
  </si>
  <si>
    <t>Provide PAM access for "m.maldossari" on requested servers</t>
  </si>
  <si>
    <t>Email release for "h.sbalawi@etec.gov.sa" - ESA [22616434]</t>
  </si>
  <si>
    <t>Email release for "a.hurayshi@etec.gov.sa" - ESA [22482574]</t>
  </si>
  <si>
    <t>Block IoCs from (INC#2508-40)</t>
  </si>
  <si>
    <t>Case with TM support (TM-03726832)</t>
  </si>
  <si>
    <t>solve case (إضافة موقع إلى Citrix)</t>
  </si>
  <si>
    <t xml:space="preserve">Reply to "RE: تمرير رسائل البريد" </t>
  </si>
  <si>
    <t>Provide PAM access for "M.Nharbi" on requested servers</t>
  </si>
  <si>
    <t>Block IoCs from ( INC#2508-61)</t>
  </si>
  <si>
    <t>Block IoCs from ( INC#2508-62)</t>
  </si>
  <si>
    <t>Block IoCs from ( INC#2508-77)</t>
  </si>
  <si>
    <t>Edrive account activation for "samihaalanazi@gmail.com"</t>
  </si>
  <si>
    <t>Provide PAM access for "a.mina" on requested servers</t>
  </si>
  <si>
    <t>Block IoCs from ( INC#2508-114)</t>
  </si>
  <si>
    <t>Block IoCs from ( INC#2508-115)</t>
  </si>
  <si>
    <t>Block IoCs from ( INC#2508-117)</t>
  </si>
  <si>
    <t>Block IoCs from ( INC#2508-124)</t>
  </si>
  <si>
    <t>Block IoCs from ( INC#2508-127)</t>
  </si>
  <si>
    <t>Block IoCs from ( INC#2508-122)</t>
  </si>
  <si>
    <t>Block IoCs from ( RE: Suspicious Email)</t>
  </si>
  <si>
    <t>Email release for "fkulaifi@etec.gov.sa" - SMEX</t>
  </si>
  <si>
    <t>Edrive account activation for "abdul200@gmail.com"</t>
  </si>
  <si>
    <t>Email release for "T.Bhesy@etec.gov.sa" - SMEX</t>
  </si>
  <si>
    <t>Provide PAM access for "A.SSuhaim" on requested servers</t>
  </si>
  <si>
    <t>Email release for "W.mutairi@etec.gov.sa" - SMEX</t>
  </si>
  <si>
    <t>Email release for "A.mohaileb@etec.gov.sa" - SMEX</t>
  </si>
  <si>
    <t>Block IoCs from ( INC#2508-138)</t>
  </si>
  <si>
    <t>Block IoCs from ( INC#2508-140)</t>
  </si>
  <si>
    <t>Block IoCs from ( INC#2508-132)</t>
  </si>
  <si>
    <t>Block IoCs from ( INC#2508-143)</t>
  </si>
  <si>
    <t>Block IoCs from ( INC#2508-134)</t>
  </si>
  <si>
    <t>Block IoCs from ( INC#2508-136)</t>
  </si>
  <si>
    <t>Block IoCs from ( INC#2508-146)</t>
  </si>
  <si>
    <t>Block IoCs from ( INC#2508-145)</t>
  </si>
  <si>
    <t>Email release for "aaloraini@etec.gov.sa" - SMEX</t>
  </si>
  <si>
    <t>solve Edrive issue for "I.Olyan@etec.gov.sa"</t>
  </si>
  <si>
    <t>Email release for "m.binsaleh@etec.gov.sa" - SMEX</t>
  </si>
  <si>
    <t>Email release for "M.Ikanhal@etec.gov.sa" - SMEX</t>
  </si>
  <si>
    <t>Provide PAM access for "A.Omer" on requested servers</t>
  </si>
  <si>
    <t>Email release for "b.alkhayyal@etec.gov.sa" - SMEX</t>
  </si>
  <si>
    <t>Email release for "a.majed@etec.gov.sa" - SMEX</t>
  </si>
  <si>
    <t>Provide PAM access for "a.abdalla" on requested servers</t>
  </si>
  <si>
    <t>Block IoCs from ( RE: Information Sharing Service)</t>
  </si>
  <si>
    <t>Email release for "K.Shebily@etec.gov.sa" - SMEX</t>
  </si>
  <si>
    <t>Block IoCs from ( RE: ETEC - Client Requests Malicious Website)</t>
  </si>
  <si>
    <t>Block IoCs from ( RE: Malicious IPs Identified)</t>
  </si>
  <si>
    <t>Email release for "dalghadhban@etec.gov.sa" - SMEX</t>
  </si>
  <si>
    <t>Block IoCs from (RE: 010 - Attachment Defense Alert)</t>
  </si>
  <si>
    <t>Block IoCs from ( INC#2508-167 )</t>
  </si>
  <si>
    <t>Block IoCs from ( RE: Malicious Activity Detected )</t>
  </si>
  <si>
    <t>Email release for "Mdhelaan@etec.gov.sa" - SMEX</t>
  </si>
  <si>
    <t>Provide PAM access for "m.dowgry" on requested servers</t>
  </si>
  <si>
    <t xml:space="preserve">Trend Micro Technical Support Case TM-03743518 </t>
  </si>
  <si>
    <t>Provide PAM access for "h.hubaishi" on requested servers</t>
  </si>
  <si>
    <t>Edrive account activation for "m.alasmari@seu.edu.sa"</t>
  </si>
  <si>
    <t>Email release for "A.moshary@etec.gov.sa" - SMEX</t>
  </si>
  <si>
    <t>Email release for "aalzayed@etec.gov.sa" - SMEX</t>
  </si>
  <si>
    <t>meeting for (Logs gathering on Exchange server)</t>
  </si>
  <si>
    <t>Block IoCs from (INC#2508-150 )</t>
  </si>
  <si>
    <t>Block IoCs from (INC#2508-151 )</t>
  </si>
  <si>
    <t>Block IoCs from (INC#2508-160 )</t>
  </si>
  <si>
    <t>Block IoCs from (INC#2508-200)</t>
  </si>
  <si>
    <t>Email release for "malkhalifa@etec.gov.sa" - SMEX</t>
  </si>
  <si>
    <t>Provide PAM access for "m.hussein" on requested servers</t>
  </si>
  <si>
    <t>(RE: طلب رفع مساحة التخزين في المنصة الآمنة) for "m.almasri@etec.gov.sa"</t>
  </si>
  <si>
    <t>Email release for "m.mesned@etec.gov.sa" - SMEX</t>
  </si>
  <si>
    <t>Email release for "N.MAjmi@etec.gov.sa" - SMEX</t>
  </si>
  <si>
    <t>Reply to (RE: إعادة تسمية الخادم عبر نظام PAM)</t>
  </si>
  <si>
    <t>Email release for "K.HARBI@etec.gov.sa" - SMEX</t>
  </si>
  <si>
    <t>Email release for "R.nujaym@etec.gov.sa" - SMEX</t>
  </si>
  <si>
    <t>share report from Haseen (RE: Information Sharing Service)</t>
  </si>
  <si>
    <t>Block IoCs from (RE: Information Sharing Service)</t>
  </si>
  <si>
    <t>Block IoCs from ( INC#2508-201 )</t>
  </si>
  <si>
    <t>Block IoCs from ( INC#2508-199 )</t>
  </si>
  <si>
    <t>Block IoCs from ( INC#2508-207)</t>
  </si>
  <si>
    <t>Block IoCs from ( INC#2508-209)</t>
  </si>
  <si>
    <t>Block IoCs from ( INC#2508-208)</t>
  </si>
  <si>
    <t>Block IoCs from ( INC#2508-182)</t>
  </si>
  <si>
    <t>Block IoCs from ( INC#2508-212)</t>
  </si>
  <si>
    <t>ETEC | Safe SOC | #2508-164 ETEC - Server Windows Event Log Cleared | email sent to Eng. Ahmed for confirmation</t>
  </si>
  <si>
    <t>ETEC | Safe SOC | INC#2508-182 ETEC – RDP_OVER_Non-Standard_Ports | block th IP</t>
  </si>
  <si>
    <t xml:space="preserve"> ETEC | Safe SOC | INC#2508-183 - ETEC – Suspicious Admin URL Access | block the IPs</t>
  </si>
  <si>
    <t xml:space="preserve">ETEC | Safe SOC | INC#2508-181 RDP Login Non-Business Hours | email sent to user for cofimation </t>
  </si>
  <si>
    <t>ETEC | Safe SOC | INC#2508-184 -ETEC – SQL injection attempts | block the IP</t>
  </si>
  <si>
    <t xml:space="preserve">ETEC | Safe SOC | INC#2508-179 - Service Stopped | the services are running </t>
  </si>
  <si>
    <t xml:space="preserve">ETEC | Safe SOC | INC#2508-160 ETEC - Client Requests Malicious Website | block the Domains </t>
  </si>
  <si>
    <t xml:space="preserve">ETEC | Safe SOC | INC#2508-80 ETEC- Client Requests Malicious Website | block the Domains </t>
  </si>
  <si>
    <t>ETEC | Safe SOC | INC#2508-167 SD - EDR Detection -Malicious Activity Detected | block the Domain</t>
  </si>
  <si>
    <t xml:space="preserve">ETEC | Safe SOC | INC#2508-194 ETEC - Client Requests Malicious Website | block the Domains </t>
  </si>
  <si>
    <t>Malicious IoCs | block the IoCs</t>
  </si>
  <si>
    <t>reporting</t>
  </si>
  <si>
    <t>implement a new Rule on EDR |ETEC - NCA-0005-0009.1005 - Collection - File Copy Tools</t>
  </si>
  <si>
    <t>implement a new Rule on EDR |ETEC - NCA-0001-0007.1135 Discovery - SMBMap</t>
  </si>
  <si>
    <t>implement a new Rule on EDR |ETEC - NCA-0003-0007.1012 Discovery - Defender Exclusion</t>
  </si>
  <si>
    <t>implement a new Rule on EDR |ETEC - NCA-0004-0007.1018 Discovery - Domain joined host discovery</t>
  </si>
  <si>
    <t>implement a new Rule on EDR |ETEC - NCA-0001-0004.1134.001 Privilege Escalation - Token Manipulation</t>
  </si>
  <si>
    <t xml:space="preserve"> ETEC | Safe SOC | INC#2508-201  ETEC - WAF Detection – Suspicious User Agent | block the IP </t>
  </si>
  <si>
    <t>ETEC | Safe SOC | INC#2508-199 - ETEC – Suspicious Admin URL Access | block the IP</t>
  </si>
  <si>
    <t xml:space="preserve">INC#2508-202 SDR-0005 User added to local administrators | normal </t>
  </si>
  <si>
    <t>INC#2508-203 EDR Detection -Malicious Activity Detected |block the domains,  run a full scan</t>
  </si>
  <si>
    <t>INC#2508-206 Suspicious Admin URL Access | block the IP</t>
  </si>
  <si>
    <t>INC#2508-208 Suspicious Admin URL Access | block the IP</t>
  </si>
  <si>
    <t xml:space="preserve">INC#2508-209 ETEC – Linux –  SharePoint Exploitation Attempts (CVE- 2025-53770) | block the IPs </t>
  </si>
  <si>
    <t>handle and investigate an alert from Proofpint |RE: 010 - Attachment Defense Alert</t>
  </si>
  <si>
    <t>ETEC | Safe SOC | INC#2508-216 - ETEC - Directory Traversal Attempt | block the IP</t>
  </si>
  <si>
    <t>INC#2508-217 User added to local administrators | normal</t>
  </si>
  <si>
    <t xml:space="preserve">INC#2508-218 Service Stopped | the services are running </t>
  </si>
  <si>
    <t xml:space="preserve">INC#2508-224 User added to local administrators | normal </t>
  </si>
  <si>
    <t>INC#2508-225 Suspicious Admin URL Access | block the IP</t>
  </si>
  <si>
    <t>INC#2508-226 SQL injection attempts | External XSS Attempts via WAF | block the IP</t>
  </si>
  <si>
    <t>INC#2508-227 RDP_OVER_Non-Standard_Ports | block the IP</t>
  </si>
  <si>
    <t>INC#2508-12,SD -EDR Detection - ETEC-Live_process</t>
  </si>
  <si>
    <t xml:space="preserve">INC#2508-14,SD - EDR Detections -Svchost Runing from Unusual Path </t>
  </si>
  <si>
    <t>Menwer</t>
  </si>
  <si>
    <t>INC#2508-15,SDR-0005 User added to local administrators</t>
  </si>
  <si>
    <t>INC#2508-16,SDR-0005 User added to local administrators</t>
  </si>
  <si>
    <t>INC#2508-17,External SMB Communication</t>
  </si>
  <si>
    <t>INC#2508-18,RDP Login Non-Business Hours</t>
  </si>
  <si>
    <t>INC#2508-20,RDP Login Non-Business Hours</t>
  </si>
  <si>
    <t>TH#2508-001,Download &amp; full scan</t>
  </si>
  <si>
    <t>INC#2508-24, SDR-0054-Critical asset shutdown or restart</t>
  </si>
  <si>
    <t>INC#2508-26, ETEC - High_Number_of_Emails_From_External_Source</t>
  </si>
  <si>
    <t>INC#2508-27 B,Service Stopped</t>
  </si>
  <si>
    <t>INC#2508-27 C,SQL injection attempts</t>
  </si>
  <si>
    <t>INC#2508-28,ETEC – Suspicious Admin URL Access</t>
  </si>
  <si>
    <t>INC#2508-29,WAF External attack 2 - Buffer Overflow,Server-Side Request Forgery (SSRF)</t>
  </si>
  <si>
    <t>INC#2508-30,User added to local administrators</t>
  </si>
  <si>
    <t xml:space="preserve">INC#2508-31, ETEC-RDP_Over_non-Standard_port </t>
  </si>
  <si>
    <t xml:space="preserve">INC#2508-32,  ETEC – Command_Injection </t>
  </si>
  <si>
    <t>INC#2508-33,RDP Login Non-Business Hours</t>
  </si>
  <si>
    <t>INC#2508-34, RDP Login Non-Business Hours</t>
  </si>
  <si>
    <t xml:space="preserve">INC#2508-35,ETEC – Command_Injection </t>
  </si>
  <si>
    <t>INC#2508-36,WAF Detection - Suspicious User Agent</t>
  </si>
  <si>
    <t xml:space="preserve">INC#2508-37,ETEC-RDP_Over_non-Standard_port </t>
  </si>
  <si>
    <t xml:space="preserve">INC#2508-38,SDR – 0102 Internal Vertical Port Scan </t>
  </si>
  <si>
    <t xml:space="preserve">INC#2508-41,ETEC-RDP_Over_non-Standard_port </t>
  </si>
  <si>
    <t xml:space="preserve">INC#2508-42, EDR Detections -Svchost Runing from Unusual Path </t>
  </si>
  <si>
    <t xml:space="preserve">INC#2508-43,ETEC – Suspicious Admin URL Access </t>
  </si>
  <si>
    <t xml:space="preserve">INC#2508-44, EDR Detections -ETEC-Live-Suspicious </t>
  </si>
  <si>
    <t>INC#2508-45, SDR – 0102 Internal Vertical Port Scan</t>
  </si>
  <si>
    <t>INC#2508-46, SDR-0005 User added to local administrators</t>
  </si>
  <si>
    <t>INC#2508-47, RDP Login Non-Business Hours</t>
  </si>
  <si>
    <t>INC#2508-48, RDP Login Non-Business Hours</t>
  </si>
  <si>
    <t>INC#2508-49, SDR-0005 User added to local administrators</t>
  </si>
  <si>
    <t xml:space="preserve">INC#2508-50,ETEC – Suspicious Admin URL Access </t>
  </si>
  <si>
    <t>INC#2508-51,INC#2508-51 RDP Login Non-Business Hours</t>
  </si>
  <si>
    <t>INC#2508-52,RDP Login Non-Business Hours</t>
  </si>
  <si>
    <t xml:space="preserve">INC#2508-53,ETEC – Suspicious Admin URL Access </t>
  </si>
  <si>
    <t>INC#2508-73, SD-WAF External attack 2 -Buffer Overflow,server-Side Request Forgery (SSRF)</t>
  </si>
  <si>
    <t>INC#2508-74,Service Stopped</t>
  </si>
  <si>
    <t xml:space="preserve">INC#2508-81,SD - EDR Detection – Malicious Activity Detected </t>
  </si>
  <si>
    <t xml:space="preserve">INC#2508-82, ETEC - WAF Detection – Suspicious User Agent </t>
  </si>
  <si>
    <t xml:space="preserve">INC#2508-83,ETEC - WAF Detection – Suspicious User Agent </t>
  </si>
  <si>
    <t xml:space="preserve">INC#2508-86,User added to local administrators </t>
  </si>
  <si>
    <t xml:space="preserve">TH#2508-002,Suspicious File  </t>
  </si>
  <si>
    <t>INC#2508-90,  ETEC - Executive Failure Logins (admin)</t>
  </si>
  <si>
    <t xml:space="preserve">INC#2508-101,ETEC - Directory Traversal Attempt </t>
  </si>
  <si>
    <t>INC#2508-102,RDP Login Non-Business Hours</t>
  </si>
  <si>
    <t>INC#2508-103,RDP Login Non-Business Hours</t>
  </si>
  <si>
    <t>INC#2508-104,RDP Login Non-Business Hours</t>
  </si>
  <si>
    <t xml:space="preserve">INC#2508-105,ETEC - SSH Login Non-Business Hours </t>
  </si>
  <si>
    <t xml:space="preserve">INC#2508-129,SSH Login Non-Business Hours </t>
  </si>
  <si>
    <t>INC#2508-139,Service Stopped</t>
  </si>
  <si>
    <t xml:space="preserve">INC#2508-142,SSH Login Non-Business Hours </t>
  </si>
  <si>
    <t>TH#2508-03,ETEC - SSH Login Non-Business Hours</t>
  </si>
  <si>
    <t>INC#2508-169,User added to local administrators</t>
  </si>
  <si>
    <t>INC#2508-185,Linux –  SharePoint Exploitation Attempts (CVE- 2025-53770)</t>
  </si>
  <si>
    <t xml:space="preserve">INC#2508-186,SSH Login Non-Business Hours </t>
  </si>
  <si>
    <t xml:space="preserve">INC#2508-187,Suspicious Admin URL Access </t>
  </si>
  <si>
    <t>INC#2508-188,RDP_OVER_Non-Standard_Ports</t>
  </si>
  <si>
    <t>INC#2508-195,EDR Detection -Malicious Activity Detected</t>
  </si>
  <si>
    <t>INC#2508-196, RDP Login Non-Business Hours</t>
  </si>
  <si>
    <t xml:space="preserve">INC#2508-197, SSH Login Non-Business Hours </t>
  </si>
  <si>
    <t xml:space="preserve">INC#2508-204,User added to local administrators </t>
  </si>
  <si>
    <t xml:space="preserve">INC#2508-205,WAF Detection – Suspicious User Agent </t>
  </si>
  <si>
    <t xml:space="preserve">INC#2508-207,EDR Detection -Malicious Activity Detected </t>
  </si>
  <si>
    <t>INC#2508-211,Critical User Created/Deleted</t>
  </si>
  <si>
    <t>INC#2508-220,RDP_OVER_Non-Standard_Ports</t>
  </si>
  <si>
    <t xml:space="preserve">INC#2508-221, RDP Login Non-Business Hours </t>
  </si>
  <si>
    <t>INC#2508-222,0055 Horizontal port scan</t>
  </si>
  <si>
    <t xml:space="preserve">INC#2508-223,RDP Login Non-Business Hours </t>
  </si>
  <si>
    <t>Deep Invastgation "ETECBIAP03"</t>
  </si>
  <si>
    <t>Deep Invastgation "103.82.20.226"</t>
  </si>
  <si>
    <t>Deep Invastgation "10.10.128.77"</t>
  </si>
  <si>
    <t>RE: فحص امني الخاص بمشروع helpAG</t>
  </si>
  <si>
    <t>تقرير إنشاء واختبار قاعدة كشف EDR – ETEC Phishing Malicious Attachment وإعداد Playbook للاستجابة</t>
  </si>
  <si>
    <t>Create a use-case "Phishing – Malicious Attachment_x000D_"</t>
  </si>
  <si>
    <t xml:space="preserve">Red Team Avtivity to test "Phishing – Malicious Attachment" </t>
  </si>
  <si>
    <t xml:space="preserve">Detect to server linux to remove the Deep security And EDR and i request to create use case " New Rule ETEC - Service_Stopped_on_Linux_Machine" </t>
  </si>
  <si>
    <t xml:space="preserve">Re: Check this please </t>
  </si>
  <si>
    <t>RE: TP&amp;TM_check</t>
  </si>
  <si>
    <t xml:space="preserve">RE: 08: RE: ETEC | Safe SOC | #2508-129 ETEC - SSH Login Non-Business Hours  </t>
  </si>
  <si>
    <t>Create a use-case "Web Server Spawning Shell (Windows)"</t>
  </si>
  <si>
    <t xml:space="preserve">Test and red teaming to test "Web Server Spawning Shell (Windows) " </t>
  </si>
  <si>
    <t>استفسار حول نشاط برنامج wa_3rd_party_host_64.exe وتشغيل PowerShell على أجهزة الهيئة</t>
  </si>
  <si>
    <t xml:space="preserve">لوحة معلومات للأشخاص المعتمدين </t>
  </si>
  <si>
    <t>RE: السماح بالوصول للانترنت</t>
  </si>
  <si>
    <t>Re: IPs_check</t>
  </si>
  <si>
    <t>Request to allow ZK API traffic from SAP Cloud Connector</t>
  </si>
  <si>
    <t>RE: SSH</t>
  </si>
  <si>
    <t>RE: [	اضافة الايبان البنكي لمصرف الراجحي لشركة الاسلوب الذكي اتحصيل مشاريع هيئة التقويم ] [22567420]</t>
  </si>
  <si>
    <t>remove m.binasker and I.iraqi and s.riyadh from DDI and DDD solution</t>
  </si>
  <si>
    <t>M. Shahrani</t>
  </si>
  <si>
    <t>upgrade DS to patch 20.0.1047</t>
  </si>
  <si>
    <t xml:space="preserve">Troubleshooting TRAS system after working hours </t>
  </si>
  <si>
    <t>activate m.kontar after coordinate with IT team</t>
  </si>
  <si>
    <t>test connectivity between DDI and Smart Protection Server</t>
  </si>
  <si>
    <t>apply and fill the Cyber security maturity assessment 2025 DRAFT_algosec01 document to Eng.Linah Hajjam</t>
  </si>
  <si>
    <t>IT Infra Review</t>
  </si>
  <si>
    <t>knowledge transfer about Algosec to Eng.Linah Hajjam</t>
  </si>
  <si>
    <t>meeting about RA license with Algosec team to solve it</t>
  </si>
  <si>
    <t>send DS upgrade activities are done by email</t>
  </si>
  <si>
    <t>close DS action plan on TM health report</t>
  </si>
  <si>
    <t>resolve Anti-Malware Module (Real Time Scan) for AMSI service( more than 8 Malware Scan Configurations)</t>
  </si>
  <si>
    <t>resolve Anti-Malware Module (Real Time Scan) for Custom Actions service ( more than 8 Malware Scan Configurations)</t>
  </si>
  <si>
    <t>resolve Anti-Malware Module (Manual Scan) for Process Memory Scan service( more than 8 Malware Scan Configurations)</t>
  </si>
  <si>
    <t>resolve Anti-Malware Module (Manual Scan) for Custom Actions service ( more than 8 Malware Scan Configurations)</t>
  </si>
  <si>
    <t>resolve Anti-Malware Module (Manual Scan) for CPU Usage service( more than 8 Malware Scan Configurations)</t>
  </si>
  <si>
    <t>resolve Anti-Malware Module (Scheduled Scan) for Custom Actions service ( more than 8 Malware Scan Configurations)</t>
  </si>
  <si>
    <t>resolve with it system team to snapshot for Deep Security VM</t>
  </si>
  <si>
    <t>resolve with it system team to snapshot for 3 SMEXs  VMs</t>
  </si>
  <si>
    <t>resolve with DB  team to Backup DB for DS and SMEXs</t>
  </si>
  <si>
    <t xml:space="preserve">generate report about the Servers that have issue with Deep Security </t>
  </si>
  <si>
    <t>Backup configuration for IPS before upgrade IPS</t>
  </si>
  <si>
    <t>upgrade HQ IPS version to 6.5.0_14731 without down time</t>
  </si>
  <si>
    <t>upload the Deep Security images in Share folder</t>
  </si>
  <si>
    <t>delete s.riyadh from IPS and SMS</t>
  </si>
  <si>
    <t xml:space="preserve">open ticket TM-03729010 with Trendmicro to solve  report issue on SMS </t>
  </si>
  <si>
    <t>open ticket TM-03729007  with Trendmicro to solve Linux computer (agent) does not communicate with Deep Security for activation</t>
  </si>
  <si>
    <t>technical meeting to support IT Team for ETEC &amp; F5 XC Bot Defense Deployment</t>
  </si>
  <si>
    <t>follow up the ticket# TM-03720155 to solve APex one integration with SPS with trendmicro support team</t>
  </si>
  <si>
    <t>send request to IT for configure SNMP service on TPS(SMS)</t>
  </si>
  <si>
    <t>troubleshooting with Eng. Moamen-IT about INternet_connection_issue session#1</t>
  </si>
  <si>
    <t>add m.binasem to Media Policy in FortiProxy</t>
  </si>
  <si>
    <t>troubleshooting with Eng. Moamen-IT about INternet_connection_issue session#2</t>
  </si>
  <si>
    <t>troubleshooting with Eng. Moamen-IT about INternet_connection_issue session#3</t>
  </si>
  <si>
    <t>make IPS as fallback to test connectivity  and troubleshooting issue with Eng. Moamen</t>
  </si>
  <si>
    <t xml:space="preserve">create account in apex on HQ ,apex Branch , Deep Security  for sultan aldossary (SOC Engineer ) as viewer account </t>
  </si>
  <si>
    <t>delete SPCS and s.riyadh accounts from Deep Security</t>
  </si>
  <si>
    <t>download apexone_sp1_win_en_criticalpatch_b14039 on apex01 HQ and apexone_sp1_win_en_criticalpatch_b14039 on Apex02 Branch</t>
  </si>
  <si>
    <t>technical meeting to solve  TM-03729007  with Trendmicro to solve Linux computer (agent) does not communicate with Deep Security for activation with server admin and Eng.Nenwer</t>
  </si>
  <si>
    <t>send invitation and e-mail to attend algosec session</t>
  </si>
  <si>
    <t>snapshot/Backup for the below servers for 10.10.155.126 and 10.10.155.127</t>
  </si>
  <si>
    <t xml:space="preserve">check on IPS services and connectivity </t>
  </si>
  <si>
    <t>close change request after we upgrade SEMXs (CRQ000000010101)</t>
  </si>
  <si>
    <t>fix Proxy issue on Ghanim Alkilani</t>
  </si>
  <si>
    <t xml:space="preserve">follow up with FortiProxy about extend the license </t>
  </si>
  <si>
    <t xml:space="preserve">check on Proxy services and connectivity </t>
  </si>
  <si>
    <t xml:space="preserve">open ticket with Algosec to resolve Analysis Status for some devices </t>
  </si>
  <si>
    <t>review algosec RACI with Eng. Abeer</t>
  </si>
  <si>
    <t>customize OU only for Tower to apply on Fortiproxy</t>
  </si>
  <si>
    <t xml:space="preserve">arrange to SSL Deep Inspection  on proxy </t>
  </si>
  <si>
    <t>ETEC || AlgoSec || License Installation - RA</t>
  </si>
  <si>
    <t xml:space="preserve">review the fortiproxy license with vendor </t>
  </si>
  <si>
    <t xml:space="preserve">download DDD image from TrendMicro download center </t>
  </si>
  <si>
    <t>disable the Debug mode on Algosec</t>
  </si>
  <si>
    <t xml:space="preserve">fill the form " نموذج أعمال جدول الدفعات.docx " for AlgoSec Project </t>
  </si>
  <si>
    <t>Projects</t>
  </si>
  <si>
    <t>create username and password on Algosec for Eng.Bader Alissa</t>
  </si>
  <si>
    <t>technical session on fortiproxy to arrange change domain group with NCA DC OU=Board</t>
  </si>
  <si>
    <t>follow up with eng.Mueb to sign the first payment for AlgoSec partner</t>
  </si>
  <si>
    <t>upload troubleshooting file to algosec about ticket # AlgoSec #190053]</t>
  </si>
  <si>
    <t>work with Eng.Ageeli and Eng.Alfaleh to resolve the activation Qualys agents on QGS dashboard</t>
  </si>
  <si>
    <t xml:space="preserve">work with Eng. WED to solve the issue on apexone 02 </t>
  </si>
  <si>
    <t>work with Eng. Alfaleh to allow Wireshark from TrendMicro apex one   for Moamen</t>
  </si>
  <si>
    <t xml:space="preserve">open CRQ000000010502 to reroute internet traffic to proxy </t>
  </si>
  <si>
    <t>CR</t>
  </si>
  <si>
    <t>open session to troubleshooting connectivity between 10.1.201.90 and 10.1.98.103 with Eng. Moamen and Eng. Aqeeli</t>
  </si>
  <si>
    <t>fill "شهادة الإنجاز " for AlgoSec Project</t>
  </si>
  <si>
    <t xml:space="preserve">close with Algosec team from implementation phase after resolved license issue </t>
  </si>
  <si>
    <t xml:space="preserve">solve the connecvity 10.10.250.88 by register in Agent not Master </t>
  </si>
  <si>
    <t>The issue was with firewall_data.xml as the device was managed by RA and in RA's firewall_data.xml the impacted device entry was missing.</t>
  </si>
  <si>
    <t>Corrected the firewall_data.xml of RA and issue got resolved</t>
  </si>
  <si>
    <t>i shutdown the IPS in DEEM untill reactiviate later</t>
  </si>
  <si>
    <t>open proxy for Dr. Alkhairy PC in fortiproxy</t>
  </si>
  <si>
    <t>add wi-fi exception for Dr. Alkhairy PC in TM central</t>
  </si>
  <si>
    <t>create new test policy to test go internet without proxy.etec.gov.sa</t>
  </si>
  <si>
    <t>technical meeting with Eng.Moamen and Eng.Alfaleh to troubshooting the logs viewing for end user from Proxy,IPS,FW sides</t>
  </si>
  <si>
    <t>technical meeting to resolve DS agent on Linux server to access the internet</t>
  </si>
  <si>
    <t>Troubleshooting with 10.6.2.71 ALdubkhei PC in designer team to fix the internet access</t>
  </si>
  <si>
    <t xml:space="preserve">knowledge transfer tasks from Eng. Ageeli </t>
  </si>
  <si>
    <t>download scut tool august and send to helpdesk (Eng. Thamir Alawad-Nada )</t>
  </si>
  <si>
    <t>Troubleshooting for DLP Email is quarantine in SMEX02</t>
  </si>
  <si>
    <t>Troubleshooting for Turki aljidani is quarntine in SMEX02</t>
  </si>
  <si>
    <t>technical meeting about Fidelis Agent EDR issue | MUstakbalhom system</t>
  </si>
  <si>
    <t>Troubleshooting about phishing mail that received from Mohammed AlKhaeri</t>
  </si>
  <si>
    <t>Troubleshooting session with Eng.Milaf about PAM issue to solve PT admin</t>
  </si>
  <si>
    <t>create new request for New mail notification "cyber_infra@etec.gov.sa"</t>
  </si>
  <si>
    <t>work with Eng. wed to activate email notification in SMEXs</t>
  </si>
  <si>
    <t>technical meeting about proxy session - Change Traffic to Proxy</t>
  </si>
  <si>
    <t>check IP 10.6.246.91 on TPS and TM sides with Eng. Moamen</t>
  </si>
  <si>
    <t>working to continue on  MDM Intune part in Configuration review project</t>
  </si>
  <si>
    <t>deactivate Deep Security agent on ETECDCGC06.NCA.Local to test connectivity between PA FW and AD</t>
  </si>
  <si>
    <t>technical meeting to test connectivity between PA FW and AD with Eng. Sultan aldoassry</t>
  </si>
  <si>
    <t>open new troubleshooting session with Eng. Linda to solve VDI issue with Central</t>
  </si>
  <si>
    <t>open new troubleshooting session with Eng. Salam to solve VDI issue with Central</t>
  </si>
  <si>
    <t>reassign the 10.10.128.77 to developer group in TM central</t>
  </si>
  <si>
    <t>reassign the 10.10.128.125 to developer group in TM central</t>
  </si>
  <si>
    <t>reassign the 10.10.128.149 to developer group in TM central</t>
  </si>
  <si>
    <t>reassign the 10.10.128.117 to developer group in TM central</t>
  </si>
  <si>
    <t>reassign the 10.10.128.30 to developer group in TM central</t>
  </si>
  <si>
    <t>reassign the 10.10.128.170 to developer group in TM central</t>
  </si>
  <si>
    <t>reassign the 10.10.128.126 to developer group in TM central</t>
  </si>
  <si>
    <t>reassign the 10.10.128.160 to developer group in TM central</t>
  </si>
  <si>
    <t>reassign the 10.10.128.18 to developer group in TM central</t>
  </si>
  <si>
    <t>reassign the 10.10.128.76 to developer group in TM central</t>
  </si>
  <si>
    <t>reassign the 10.10.128.142 to developer group in TM central</t>
  </si>
  <si>
    <t>reassign the 10.10.128.33 to developer group in TM central</t>
  </si>
  <si>
    <t>reassign the 10.10.128.198 to developer group in TM central</t>
  </si>
  <si>
    <t>reassign the 10.10.128.112 to developer group in TM central</t>
  </si>
  <si>
    <t>reassign the 10.10.128.28 to developer group in TM central</t>
  </si>
  <si>
    <t>reassign the 10.10.128.78 to developer group in TM central</t>
  </si>
  <si>
    <t>reassign the 10.10.128.86 to developer group in TM central</t>
  </si>
  <si>
    <t>reassign the 10.10.128.102 to developer group in TM central</t>
  </si>
  <si>
    <t>reassign the 10.10.128.43 to developer group in TM central</t>
  </si>
  <si>
    <t>reassign the 10.10.128.152 to developer group in TM central</t>
  </si>
  <si>
    <t>reassign the 10.10.128.147 to developer group in TM central</t>
  </si>
  <si>
    <t>reassign the 10.10.128.113 to developer group in TM central</t>
  </si>
  <si>
    <t>add 3 full program path in developer group in TM central</t>
  </si>
  <si>
    <t>permit IP 208.91.112.55 in TM central</t>
  </si>
  <si>
    <t>permit IP 45.227.255.158 in TM central</t>
  </si>
  <si>
    <t>add this IP 10.6.2.21 - Designer Group in Proxy</t>
  </si>
  <si>
    <t>add this IP 10.6.2.62 - Designer Group in Proxy</t>
  </si>
  <si>
    <t>add this IP 10.6.2.25 - Designer Group in Proxy</t>
  </si>
  <si>
    <t>add this IP 10.6.2.71 - Designer Group in Proxy</t>
  </si>
  <si>
    <t>add this IP 10.6.2.54 - Designer Group in Proxy</t>
  </si>
  <si>
    <t>add this IP 10.6.2.12 - Designer Group in Proxy</t>
  </si>
  <si>
    <t>add this IP 10.6.2.38 - Designer Group in Proxy</t>
  </si>
  <si>
    <t>add this IP 10.6.2.14 - Designer Group in Proxy</t>
  </si>
  <si>
    <t>add this IP 10.6.2.99 - Designer Group in Proxy</t>
  </si>
  <si>
    <t>add this IP 10.6.2.150 - Designer Group in Proxy</t>
  </si>
  <si>
    <t>add this IP 10.6.2.36 - Designer Group in Proxy</t>
  </si>
  <si>
    <t>create two policy for Designer in Proxy</t>
  </si>
  <si>
    <t>test the browsing  IP 10.6.2.25 in proxy and it is working fine</t>
  </si>
  <si>
    <t>check on IPS status and services</t>
  </si>
  <si>
    <t>activate Mohamed A Ismail PAM access with Eng.Ghiada</t>
  </si>
  <si>
    <t>test connection between DDI-Tower and Microsoft Active Directory</t>
  </si>
  <si>
    <t>test connection between DDI-Tower and Apex Central</t>
  </si>
  <si>
    <t>activate the internet for hajar abalkhail endpoint</t>
  </si>
  <si>
    <t>follow up the MDM and VA with Eng. Tareq-system admin (Configuration review part with HelpAG )</t>
  </si>
  <si>
    <t>support Eng. Sultan aldoassry to fix the safe-engine server located in Mobily DC</t>
  </si>
  <si>
    <t>troublshooting  jadarat.sa with fortiproxy side for more than two hours</t>
  </si>
  <si>
    <t>reroute the jadarat.sa to FW by adding 10.6.14.0/24 with Eng. Ahmed Ahmed</t>
  </si>
  <si>
    <t>troubleshooting  jadarat.sa with fortiproxy side sesstion 2</t>
  </si>
  <si>
    <t>troubleshooting to access some websites in backend in developer VDI (Loai M Abuawuad)</t>
  </si>
  <si>
    <t>try to fix the linux issue with Eng Asharaf (DDD)</t>
  </si>
  <si>
    <t>after the VM hang fix the central TM by increase CPU from 4G to 8G and restart the server VM</t>
  </si>
  <si>
    <t xml:space="preserve">export report for Deem FW as evidence in NCA Critical ECC </t>
  </si>
  <si>
    <t>open new ticket with algosec to fix 10.5.250.1 communication with algosec system</t>
  </si>
  <si>
    <t xml:space="preserve">troubleshooting to allow SMB on IPS (File Sharing server in DEEM) </t>
  </si>
  <si>
    <t>review the IPS services</t>
  </si>
  <si>
    <t>MDM configuration review</t>
  </si>
  <si>
    <t xml:space="preserve">solve with Eng. Moamen about  ETEC SAP Landscape IP---10.1.156.14 </t>
  </si>
  <si>
    <t>domain controller configuration review technical meeting</t>
  </si>
  <si>
    <t>Blocking IoCs INC#2508-203</t>
  </si>
  <si>
    <t>Blocking IoCs INC#2508-206</t>
  </si>
  <si>
    <t>Blocking IoCs INC#2508-205</t>
  </si>
  <si>
    <t xml:space="preserve">Activating Servers on Deep Security </t>
  </si>
  <si>
    <t xml:space="preserve">Linux server list </t>
  </si>
  <si>
    <t>OTHER</t>
  </si>
  <si>
    <t>TM Case TM-03747500 "agent Docker installation"</t>
  </si>
  <si>
    <t>Blocking IoCs INC#2508-213</t>
  </si>
  <si>
    <t>Blocking IoCs INC#2508-215</t>
  </si>
  <si>
    <t>Blocking IoCs INC#2508-198</t>
  </si>
  <si>
    <t xml:space="preserve">Blocking IoCs INC#2508-95 </t>
  </si>
  <si>
    <t>Blocking IoCs INC#2508-216</t>
  </si>
  <si>
    <t>changing Role on apex Central</t>
  </si>
  <si>
    <t>Provide PAM access for "A.Jolel" on requested servers</t>
  </si>
  <si>
    <t>Email release for "A.Mogheerah@etec.gov.sa" - SMEX</t>
  </si>
  <si>
    <t>Email release for "A.Jouiee@etec.gov.sa" - ESA [23500930]</t>
  </si>
  <si>
    <t>Check and install security controls on server (10.1.135.208) for ( نظام الرخص المهنية)</t>
  </si>
  <si>
    <t>Check and install security controls on server (10.1.155.110) for ( نظام الرخص المهنية)</t>
  </si>
  <si>
    <t>Check and install security controls on server (10.1.175.55) for ( نظام الرخص المهنية)</t>
  </si>
  <si>
    <t>Check and install security controls on server (10.1.201.241) for ( نظام الرخص المهنية)</t>
  </si>
  <si>
    <t>Check and install security controls on server (10.1.201.71) for ( نظام الرخص المهنية)</t>
  </si>
  <si>
    <t>Solve issues and activate accoun on Edrive for (mmalotaibi@ut.edu.sa)</t>
  </si>
  <si>
    <t>Email release for "a.hurayshi@etec.gov.sa" - ESA [23513620]</t>
  </si>
  <si>
    <t>Review and block ICs received from S.dossari (1- Block IP) &amp; send to block on Cloudflare</t>
  </si>
  <si>
    <t>Review and block ICs received from S.dossari (2- Block IP) &amp; send to block on Cloudflare</t>
  </si>
  <si>
    <t>Collect logs for (Trend Micro Technical Support Case TM-03746263 P2)</t>
  </si>
  <si>
    <t>INC#2508-5 Expected Host Not Reporting</t>
  </si>
  <si>
    <t>S.Dossari</t>
  </si>
  <si>
    <t>INC#2508-10 Service Stopped</t>
  </si>
  <si>
    <t>INC#2508-19 RDP Login Non-Business Hours</t>
  </si>
  <si>
    <t>INC#2508-21 ETEC – RDP_OVER_Non-Standard_Ports</t>
  </si>
  <si>
    <t xml:space="preserve">INC#2508-61 ETEC-RDP_Over_non-Standard_port </t>
  </si>
  <si>
    <t>INC#2508-62 ETEC – Suspicious Admin URL Access</t>
  </si>
  <si>
    <t>INC#2508-63 ETEC – Suspicious Admin URL Access</t>
  </si>
  <si>
    <t>INC#2508-64 ETEC – Suspicious Admin URL Access</t>
  </si>
  <si>
    <t>INC#2508-65 Service Stopped</t>
  </si>
  <si>
    <t>INC#2508-66 ETEC – SharePoint Exploitation Attempts</t>
  </si>
  <si>
    <t xml:space="preserve">INC#2508-67 ETEC – Directory Traversal Attempt </t>
  </si>
  <si>
    <t xml:space="preserve">INC#2508-91 SD - EDR Detection – Malicious Activity Detected </t>
  </si>
  <si>
    <t>INC#2508-130 RDP Login Non-Business Hours</t>
  </si>
  <si>
    <t>INC#2508-131 RDP Login Non-Business Hours</t>
  </si>
  <si>
    <t>INC#2508-132 RDP_OVER_Non-Standard_Ports</t>
  </si>
  <si>
    <t>INC#2508-133 SD-WAF External attack 2</t>
  </si>
  <si>
    <t>INC#2508-134 RDP_OVER_Non-Standard_Ports</t>
  </si>
  <si>
    <t xml:space="preserve">INC#2508-135 ETEC – Command_Injection </t>
  </si>
  <si>
    <t>INC#2508-136 RDP_OVER_Non-Standard_Ports</t>
  </si>
  <si>
    <t>INC#2508-140 ETEC – Suspicious Admin URL Access</t>
  </si>
  <si>
    <t>INC#2508-141 SD - WAF Internal Common Attack (SQL-XSS)</t>
  </si>
  <si>
    <t xml:space="preserve">INC#2508-143 ETEC – External XSS Attempt via WAF </t>
  </si>
  <si>
    <t>INC#2508-144 RDP Login Non-Business Hours</t>
  </si>
  <si>
    <t>INC#2508-145 Suspicious Admin URL Access</t>
  </si>
  <si>
    <t>INC#2508-146 Suspicious Admin URL Access</t>
  </si>
  <si>
    <t>INC#2508-150 SQL injection attempts |Directory Traversal Attempt</t>
  </si>
  <si>
    <t>INC#2508-151 ETEC – SharePoint Exploitation Attempts</t>
  </si>
  <si>
    <t>INC#2508-171 Service Stopped</t>
  </si>
  <si>
    <t>INC#2508-172 ETEC – Suspicious Admin URL Access</t>
  </si>
  <si>
    <t>INC#2508-175 ETEC – Suspicious Admin URL Access</t>
  </si>
  <si>
    <t xml:space="preserve">INC#2508-176 Command_Injection </t>
  </si>
  <si>
    <t>INC#2508-200 ETEC – Command_Injection</t>
  </si>
  <si>
    <t>INC#2508-212 Suspicious Admin URL Access</t>
  </si>
  <si>
    <t>SD Tickets review</t>
  </si>
  <si>
    <t>Citrix ADM to splunk</t>
  </si>
  <si>
    <t>New dashboard for developer</t>
  </si>
  <si>
    <t>Proceed with the database topic</t>
  </si>
  <si>
    <t>Multiple new accounts in splunk for the new SD employee</t>
  </si>
  <si>
    <t>Create and add a new section to the SOC monitring dashboard</t>
  </si>
  <si>
    <t xml:space="preserve">Update ETEC - Safe SOC Communication Matrix </t>
  </si>
  <si>
    <t>Initial file for database-related inquiries</t>
  </si>
  <si>
    <t>Samples of test databases</t>
  </si>
  <si>
    <t>Cybel Health Check</t>
  </si>
  <si>
    <t>New Rule ETEC - Service_Stopped_on_Linux_Machine</t>
  </si>
  <si>
    <t>Mobily data Center Access and fix the server issue</t>
  </si>
  <si>
    <t>Integration the Firewalls with AD</t>
  </si>
  <si>
    <t>TRAS Policyw fix issue</t>
  </si>
  <si>
    <t>upgrade the version of all splunk servers</t>
  </si>
  <si>
    <t>Exchange Logs Issue fix</t>
  </si>
  <si>
    <t>WinRAR Update – CVE-2025-8088</t>
  </si>
  <si>
    <t>New Rule ETEC - WinRAR_Path_Traversal_(CVE-2025-8088)</t>
  </si>
  <si>
    <t>Maintenance – Splunk Drilldown Issue fixed</t>
  </si>
  <si>
    <t>Tuned rule SDR - 0049 MSI Installer</t>
  </si>
  <si>
    <t>Tuned rule Threat - SDR - 0126 Exceessive Login Failure (Brute Force) - Rule</t>
  </si>
  <si>
    <t>Tuned rule Threat - SD - TrendMaicro -  File Blocked - Rule</t>
  </si>
  <si>
    <t>Tuned rule Threat - SD - EDR Detections - Rule</t>
  </si>
  <si>
    <t>Tuned rule Access - SDR - 0003 Account Tampering - Suspicious Failed Logon Reasons - Rule</t>
  </si>
  <si>
    <t>Tuned Threat - SDR - 0035 Multiple Failed Login Attempts (Brute Force) - Rule</t>
  </si>
  <si>
    <t>Tuned WinRAR_Path_Traversal_(CVE-2025-8088)</t>
  </si>
  <si>
    <t>Tuned ETEC - Service_Stopped_on_Linux_Machine</t>
  </si>
  <si>
    <t>Tuned rule ETEC - SQL_Injection</t>
  </si>
  <si>
    <t>Imroved ETEC - Directory Traversal Attempt - Rule</t>
  </si>
  <si>
    <t>improved SD - WAF Internal attack 2</t>
  </si>
  <si>
    <t>Review licensing and implementation of email security system</t>
  </si>
  <si>
    <t>Abdullah</t>
  </si>
  <si>
    <t>RFP</t>
  </si>
  <si>
    <t>Evaluate RFP for email security licenses</t>
  </si>
  <si>
    <t>Approval for attending conference</t>
  </si>
  <si>
    <t>Block suspicious IPs</t>
  </si>
  <si>
    <t>Review SOC Alerts</t>
  </si>
  <si>
    <t>Review weekly TI brief</t>
  </si>
  <si>
    <t>Threat Analisys</t>
  </si>
  <si>
    <t>Investigate Fidelis EDR issue</t>
  </si>
  <si>
    <t>Vulnerabilities / EDR Issues</t>
  </si>
  <si>
    <t>Vulnurabilites</t>
  </si>
  <si>
    <t xml:space="preserve">Review Ngrok Vulnerabilitie report </t>
  </si>
  <si>
    <t>Urgent investigation: Ngrok usage</t>
  </si>
  <si>
    <t>Meeting - student DB integration</t>
  </si>
  <si>
    <t>Investigate APEXONE issue</t>
  </si>
  <si>
    <t>Investigate Cloudflare API security case</t>
  </si>
  <si>
    <t>Handle sensitive data request "ببيانات المتقدمين على قطاعات وزارة الداخلية"</t>
  </si>
  <si>
    <t>Attend/plan workshop on urban improvement</t>
  </si>
  <si>
    <t>Investigate phishing alert</t>
  </si>
  <si>
    <t>Immediate action: email security system outage risk</t>
  </si>
  <si>
    <t xml:space="preserve">pash the configration to all PCs in Tower, Nada to get the missing event </t>
  </si>
  <si>
    <t>SOC - Weekly Meeting - 14/08/2025</t>
  </si>
  <si>
    <t xml:space="preserve">Write a report of  email security system downtime Risks and the  immediate actions that needed </t>
  </si>
  <si>
    <t>Domain Controller Configuration Review session</t>
  </si>
  <si>
    <t>Investigate and respond to reported IoCs  17/08/2025</t>
  </si>
  <si>
    <t>Cyble Helthcheck session</t>
  </si>
  <si>
    <t>proxy session - Change Traffic to Proxy</t>
  </si>
  <si>
    <t>Test the block action over all security systems</t>
  </si>
  <si>
    <t xml:space="preserve">Architect Review </t>
  </si>
  <si>
    <t>EDR - creat a new sigma rule "Masquerading Legitimate Name or Location"</t>
  </si>
  <si>
    <t xml:space="preserve">EDR - Review the new Sigma EDR rule called "Suspicious LSASS Access” </t>
  </si>
  <si>
    <t xml:space="preserve">EDR - Review the new Sigma EDR rule called  "Execution – SQLCmd” </t>
  </si>
  <si>
    <t>EDR - Review the new Sigma EDR rule called "WebshellDetectionFilewrite"</t>
  </si>
  <si>
    <t>EDR - Review the new Sigma EDR rule called  "ETEC NCA-0005-0002.1047 Execution – WMI”</t>
  </si>
  <si>
    <t>EDR - Review the new Sigma EDR rule called  "ETEC-NCA-0001-0009.1114.002 Collection-mailexport”</t>
  </si>
  <si>
    <t>EDR - Review the new Sigma EDR rule called  "ETEC - NCA-0002-0009.1005 - Collection - Robocopy Tool”</t>
  </si>
  <si>
    <t xml:space="preserve">Mail Getway session - Kaspersky </t>
  </si>
  <si>
    <t>Fidelas  Helthcheck session</t>
  </si>
  <si>
    <t>Qualys - Phase 1 implementation -  Install the agent on all the servers mentioned in Phase 1.</t>
  </si>
  <si>
    <t xml:space="preserve">Proxy - Creat a new policy to resolve Microsoft issue with end users </t>
  </si>
  <si>
    <t>EDR - trubleshooting the agent issue of the server "ETECUMBRACO02.NCA.Local"</t>
  </si>
  <si>
    <t xml:space="preserve">Scan all endpoints in zone (10.10.128.0) to check all installed apps </t>
  </si>
  <si>
    <t>remove the TM DS from server 10.1.128.126</t>
  </si>
  <si>
    <t>Sure IT comnapy  - Prepare tender documentation for the Email Security System and Licensing. Note: Site visit.</t>
  </si>
  <si>
    <t xml:space="preserve">Create a new user in ESA for SOC member  </t>
  </si>
  <si>
    <t>SOC - Weekly Meeting - 21/08/2025</t>
  </si>
  <si>
    <t xml:space="preserve">EDR - Review the new Sigma EDR rule called "ETEC NCA-0022-0006.1212 Credential Access – ZeroLogon” </t>
  </si>
  <si>
    <t xml:space="preserve">EDR - Review the new Sigma EDR rule called  "ETEC NCA-0008-0004.1068 Privilege Escalation - CallBackHell” </t>
  </si>
  <si>
    <t>EDR - Review the new Sigma EDR rule called "ETEC NCA-0002-0003.1505.003 Persistence - Webshell Detection Process Execution "</t>
  </si>
  <si>
    <t>EDR - Review the new Sigma EDR rule called  "ETEC NCA-0001-0005-1036.005 Defense Evasion - Match Legitimate Name or Location”</t>
  </si>
  <si>
    <t>EDR - Review the new Sigma EDR rule called  "ETEC NCA-0003-0009.1560.001 Collection - Archive via Utility”</t>
  </si>
  <si>
    <t xml:space="preserve">Test cloudfalre  API token </t>
  </si>
  <si>
    <t>Threat feeds - correct the wrong IoCs</t>
  </si>
  <si>
    <t>CTI Feeds</t>
  </si>
  <si>
    <t>Troubleshoot the API calls after the new permations</t>
  </si>
  <si>
    <t xml:space="preserve">EDR - Fill out the "Cyber security maturity assessment for EDR"   as per Architecture team requirements </t>
  </si>
  <si>
    <t xml:space="preserve">Qualys - Fill out the "Cyber security maturity assessment for Qualys "   as per Architecture team requirements </t>
  </si>
  <si>
    <t xml:space="preserve">Knowbe4  - Fill out the "Cyber security maturity assessment for Knowbe4"  as per Architecture team requirements </t>
  </si>
  <si>
    <t xml:space="preserve">check with "elc.edu.sa" and confirm from their side about phishing emails </t>
  </si>
  <si>
    <t>TM - Allow access to the Firefox app for (Bader Zahim)</t>
  </si>
  <si>
    <t>Whitelist the IP address 86.51.13.217 for HelpAG.</t>
  </si>
  <si>
    <t>Correct the interaction of the wrong entry in the blacklist (45.61.149.109, IP).</t>
  </si>
  <si>
    <t>Activating server agent on Deep security (ETECBIAP06, 10.1.155.122)</t>
  </si>
  <si>
    <t>Activating server agent on Deep security (ETECWEBAPI01, 10.1.155.212)</t>
  </si>
  <si>
    <t>Activating server agent on Deep security (ETECMKCLEXAM01, 10.10.155.230)</t>
  </si>
  <si>
    <t>Activating server agent on Deep security (ETECMKCLEXAM02, 10.10.155.231)</t>
  </si>
  <si>
    <t>Activating server agent on Deep security (ETECMKCLEXAM03, 10.10.155.232)</t>
  </si>
  <si>
    <t>Activating server agent on Deep security (ETECSAPMON, 10.1.156.14)</t>
  </si>
  <si>
    <t>Activating server agent on Deep security (ETECBMCRE01, 10.1.155.48)</t>
  </si>
  <si>
    <t>Activating server agent on Deep security (ETECBMCRE02, 10.1.155.117)</t>
  </si>
  <si>
    <t>Activating server agent on Deep security (ETECBMCRE03, 10.1.155.115)</t>
  </si>
  <si>
    <t>Activating server agent on Deep security (ETECBMCDISOU01, 10.1.155.147)</t>
  </si>
  <si>
    <t xml:space="preserve">ivestigation on proofpoint email delivery and sending email for blocking </t>
  </si>
  <si>
    <t>Milaf</t>
  </si>
  <si>
    <t>asking an explination from SD of changing alert staus in cyble</t>
  </si>
  <si>
    <t xml:space="preserve">ivestigation on CS-INCIDENT email and sending email for blocking </t>
  </si>
  <si>
    <t>recive an email "FW: إشكالية عدد الجلسات في الـ PAM" about issue they face in pam with this ip 10.1.155.208</t>
  </si>
  <si>
    <t>recive an email "RE: مشكلة في استخدام الـ PAM" about issue they face when they download an RDP Session</t>
  </si>
  <si>
    <t>RE: Information Sharing Service Ngrok  "investigate on DEV using Ngrok  "</t>
  </si>
  <si>
    <t>Forwording "RE:     صلاحية على خادم" to Eng. WED</t>
  </si>
  <si>
    <t xml:space="preserve">RE: عاجل  Ngrok  ANSWERING eng. RAED </t>
  </si>
  <si>
    <t xml:space="preserve">CHecking on ENG. SULTAN ALRIYADH &amp; ALZAINAH ALHARBI IN GROUPS OF EMAILS </t>
  </si>
  <si>
    <t>GIVING ACCESS TO MOHAMMED ALDOSSARI PAM "RE:     صلاحية على خادم"</t>
  </si>
  <si>
    <t>Share user guide in " إطلاق المنصة الآمنة لمشاركة الملفات "آمن"" to Alwaleed S. Bin Suwaylih</t>
  </si>
  <si>
    <t>RE: Information Sharing Service Microsoft August 2025</t>
  </si>
  <si>
    <t>RE: Information Sharing Service Weekly Threat Intelligence Brief (01 Aug 2025 – 07 Aug 2025 ) sending report and IOCs</t>
  </si>
  <si>
    <t>RE: ETEC | Safe CTI | Weekly CTI Report send repoort</t>
  </si>
  <si>
    <t xml:space="preserve">Microsoft Exchange Server vulnerability </t>
  </si>
  <si>
    <t xml:space="preserve">Investigate on solving RE:   صلاحية على خادم  issue </t>
  </si>
  <si>
    <t>deeply invistgate on phishing alert to mohammed khairy</t>
  </si>
  <si>
    <t>Block IOCs {phishing email}</t>
  </si>
  <si>
    <t>block IOCs {CS-INCIDENT}</t>
  </si>
  <si>
    <t xml:space="preserve">sending final investigation observation to Eng. Nasser with Eng. Abdulrahman </t>
  </si>
  <si>
    <t>working on Eng. nasser recommandion on cyble abour last phishing email</t>
  </si>
  <si>
    <t>solving an issue for RE: Connection Issue with Test Server</t>
  </si>
  <si>
    <t>working with eng. abdularahman on Dr. ahmed alquad reqest about "نص رساله التوعيه"</t>
  </si>
  <si>
    <t>solving an issue for "RE: add new server to PAM"</t>
  </si>
  <si>
    <t>Forwording "RE:     صلاحية على خادم" to Eng. ghaida</t>
  </si>
  <si>
    <t>solving an issue fo for "RE: PAM Access Issue"</t>
  </si>
  <si>
    <t>giving access "RE: إضافة سيرفر لل PAM"</t>
  </si>
  <si>
    <t>request blocking for Domain {CS-incident}</t>
  </si>
  <si>
    <t>RE: Information Sharing Service #RIN-51324  Citrix NetScaler ADC &amp; NetScaler Gateway that is vulnerable to CVE-2025-7775.</t>
  </si>
  <si>
    <t xml:space="preserve">RE: Cybel Health Check doing recommandion </t>
  </si>
  <si>
    <t>Health Check</t>
  </si>
  <si>
    <t>giving access RE:    صلاحية على خادم</t>
  </si>
  <si>
    <t>Esclate to eng. abdullah about "Cyble change status "\</t>
  </si>
  <si>
    <t>investigation on cs-incident email</t>
  </si>
  <si>
    <t xml:space="preserve">INC#2508-1 EDR Detections -Svchost Runing from Unusual Path </t>
  </si>
  <si>
    <t>INC#2508-3 ETEC-Live_process,</t>
  </si>
  <si>
    <t>INC#2508-6 SD-WAF internal attack 2</t>
  </si>
  <si>
    <t xml:space="preserve">INC#2508-7  ETEC-RDP_Over_non-Standard_port </t>
  </si>
  <si>
    <t>INC#2508-8 High Or Critical Priority Host With Malware Detected</t>
  </si>
  <si>
    <t xml:space="preserve">INC#2508-170 Command_Injection </t>
  </si>
  <si>
    <t>INC#2508-173 Suspicious Admin URL Access</t>
  </si>
  <si>
    <t xml:space="preserve">INC#2508-174 WAF Detection – Suspicious User Agent </t>
  </si>
  <si>
    <t>INC#2508-177 Suspicious Admin URL Access</t>
  </si>
  <si>
    <t>INC#2508-178 RDP_OVER_Non-Standard_Ports</t>
  </si>
  <si>
    <t xml:space="preserve">INC#2508-180 Suspicious Admin URL Access </t>
  </si>
  <si>
    <t xml:space="preserve">New Request from NCA #RIN-06069 </t>
  </si>
  <si>
    <t xml:space="preserve">NCA (#STI-96094) </t>
  </si>
  <si>
    <t xml:space="preserve">Response to Request from NCA #RIN-06069 </t>
  </si>
  <si>
    <t>تم نشر التقرير (Weekly Threat Intelligence Brief (01 Aug 2025 – 07 Aug 2025)).</t>
  </si>
  <si>
    <t>تم نشر التقرير (Microsoft Patch Tuesday August 2025).</t>
  </si>
  <si>
    <t>New Request from NCA #GN-83314</t>
  </si>
  <si>
    <t>New Request from NCA #RIN-51324</t>
  </si>
  <si>
    <t>response to Request from NCA #RIN-51324</t>
  </si>
  <si>
    <t>New Request from NCA #GN-92946</t>
  </si>
  <si>
    <t>تقرير اللجنه الاشرافيه</t>
  </si>
  <si>
    <t>Qualys Support Case# 2709087 - has been updated</t>
  </si>
  <si>
    <t>[DECE Software] - GEODI Routine Maintenance</t>
  </si>
  <si>
    <t>SPS policies enhancement</t>
  </si>
  <si>
    <t>Case# 2785584 Squid Proxy DoS Vulnerability detected in QGS</t>
  </si>
  <si>
    <t xml:space="preserve">Case# 2785548 Address management shows duplicate assets    </t>
  </si>
  <si>
    <t>Qualys schedules cleanup</t>
  </si>
  <si>
    <t>المراجعة الدورية لإعدادات الأنظمة الحساسة</t>
  </si>
  <si>
    <t>Compliance</t>
  </si>
  <si>
    <t xml:space="preserve">PAM -  الاختبارات عن بعد عن طريق نظام نمر </t>
  </si>
  <si>
    <t>Engineers</t>
  </si>
  <si>
    <t>Tasks Total</t>
  </si>
  <si>
    <t>Name</t>
  </si>
  <si>
    <t>Services Lists</t>
  </si>
  <si>
    <t>Weeks</t>
  </si>
  <si>
    <t>Sultan</t>
  </si>
  <si>
    <t>FCR</t>
  </si>
  <si>
    <t>Abeer</t>
  </si>
  <si>
    <t>VPN</t>
  </si>
  <si>
    <t>USB / CD</t>
  </si>
  <si>
    <t>URL Filtering</t>
  </si>
  <si>
    <t>Services</t>
  </si>
  <si>
    <t>Count</t>
  </si>
  <si>
    <t>Sec Control Modifications</t>
  </si>
  <si>
    <t>Sec Comparison</t>
  </si>
  <si>
    <t>New HLD</t>
  </si>
  <si>
    <t>New LLD</t>
  </si>
  <si>
    <t>Total</t>
  </si>
  <si>
    <t xml:space="preserve">GAP Analisys </t>
  </si>
  <si>
    <t>CAB</t>
  </si>
  <si>
    <t>Cyber Infra</t>
  </si>
  <si>
    <t>BRD</t>
  </si>
  <si>
    <t>Encrypted FLASH</t>
  </si>
  <si>
    <t>Nasser Q1</t>
  </si>
  <si>
    <t>BRD/CR</t>
  </si>
  <si>
    <t>Request/Oprders/MGT</t>
  </si>
  <si>
    <t>Teams Tasks Q1</t>
  </si>
  <si>
    <t>Cyber Actions</t>
  </si>
  <si>
    <t>Meetings</t>
  </si>
  <si>
    <t>Cyber INFRA/ OPS / TICH</t>
  </si>
  <si>
    <t>TOTAL Q1 TASKs</t>
  </si>
  <si>
    <t># of Task Group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</si>
</sst>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Arial"/>
      <family val="2"/>
    </font>
    <font>
      <b/>
      <sz val="20"/>
      <color theme="0"/>
      <name val="Arial"/>
      <family val="2"/>
    </font>
    <font>
      <sz val="20"/>
      <color theme="0"/>
      <name val="Arial"/>
      <family val="2"/>
    </font>
    <font>
      <b/>
      <sz val="16"/>
      <color theme="0"/>
      <name val="Calibri"/>
      <family val="2"/>
      <scheme val="minor"/>
    </font>
    <font>
      <b/>
      <sz val="14"/>
      <name val="Arial"/>
      <family val="2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b/>
      <sz val="16"/>
      <color theme="0"/>
      <name val="Arial"/>
      <family val="2"/>
    </font>
    <font>
      <sz val="16"/>
      <color rgb="FF000000"/>
      <name val="Arial"/>
      <family val="2"/>
    </font>
    <font>
      <b/>
      <sz val="22"/>
      <color rgb="FF9C0006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8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Arial"/>
      <family val="2"/>
    </font>
    <font>
      <b/>
      <sz val="14"/>
      <color rgb="FFFF0000"/>
      <name val="Arial"/>
      <family val="2"/>
    </font>
    <font>
      <b/>
      <sz val="11"/>
      <color rgb="FF3F3F3F"/>
      <name val="Calibri"/>
      <family val="2"/>
      <scheme val="minor"/>
    </font>
    <font>
      <sz val="14"/>
      <color rgb="FF000000"/>
      <name val="Arial"/>
      <family val="2"/>
    </font>
    <font>
      <sz val="14"/>
      <color rgb="FF000000"/>
      <name val="Arial"/>
    </font>
    <font>
      <sz val="16"/>
      <color rgb="FF000000"/>
      <name val="Arial"/>
    </font>
    <font>
      <sz val="16"/>
      <color theme="1"/>
      <name val="Arial"/>
    </font>
    <font>
      <b/>
      <sz val="16"/>
      <color theme="1"/>
      <name val="Arial"/>
    </font>
    <font>
      <sz val="14"/>
      <color rgb="FF000000"/>
      <name val="Arial"/>
      <charset val="1"/>
    </font>
    <font>
      <b/>
      <sz val="14"/>
      <color rgb="FF000000"/>
      <name val="Arial"/>
    </font>
    <font>
      <sz val="11"/>
      <color rgb="FF000000"/>
      <name val="Calibri"/>
      <family val="2"/>
    </font>
    <font>
      <sz val="14"/>
      <color theme="1"/>
      <name val="Arial"/>
      <family val="2"/>
    </font>
    <font>
      <sz val="10"/>
      <color theme="1"/>
      <name val="Arial"/>
    </font>
    <font>
      <b/>
      <sz val="14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theme="7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E7FFE7"/>
        <bgColor indexed="64"/>
      </patternFill>
    </fill>
    <fill>
      <patternFill patternType="solid">
        <fgColor rgb="FFFFFFCC"/>
      </patternFill>
    </fill>
    <fill>
      <patternFill patternType="solid">
        <fgColor rgb="FFF2F2F2"/>
      </patternFill>
    </fill>
    <fill>
      <patternFill patternType="solid">
        <fgColor rgb="FFE2EFDA"/>
        <bgColor rgb="FF000000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8">
    <xf numFmtId="0" fontId="0" fillId="0" borderId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4" fillId="7" borderId="4" applyNumberFormat="0" applyAlignment="0" applyProtection="0"/>
    <xf numFmtId="0" fontId="5" fillId="8" borderId="5" applyNumberFormat="0" applyAlignment="0" applyProtection="0"/>
    <xf numFmtId="0" fontId="6" fillId="10" borderId="0" applyNumberFormat="0" applyBorder="0" applyAlignment="0" applyProtection="0"/>
    <xf numFmtId="0" fontId="21" fillId="19" borderId="21" applyNumberFormat="0" applyFont="0" applyAlignment="0" applyProtection="0"/>
    <xf numFmtId="0" fontId="24" fillId="20" borderId="22" applyNumberFormat="0" applyAlignment="0" applyProtection="0"/>
  </cellStyleXfs>
  <cellXfs count="89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/>
    <xf numFmtId="0" fontId="7" fillId="9" borderId="1" xfId="0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 vertical="center"/>
    </xf>
    <xf numFmtId="0" fontId="14" fillId="16" borderId="1" xfId="0" applyFont="1" applyFill="1" applyBorder="1" applyAlignment="1">
      <alignment horizontal="center" vertical="center"/>
    </xf>
    <xf numFmtId="0" fontId="14" fillId="16" borderId="1" xfId="0" applyFont="1" applyFill="1" applyBorder="1" applyAlignment="1">
      <alignment horizontal="left" vertical="center"/>
    </xf>
    <xf numFmtId="0" fontId="14" fillId="4" borderId="1" xfId="0" applyFont="1" applyFill="1" applyBorder="1" applyAlignment="1">
      <alignment horizontal="center" vertical="center"/>
    </xf>
    <xf numFmtId="0" fontId="1" fillId="9" borderId="8" xfId="0" applyFont="1" applyFill="1" applyBorder="1" applyAlignment="1">
      <alignment vertical="center"/>
    </xf>
    <xf numFmtId="0" fontId="1" fillId="9" borderId="9" xfId="0" applyFont="1" applyFill="1" applyBorder="1" applyAlignment="1">
      <alignment vertical="center"/>
    </xf>
    <xf numFmtId="0" fontId="1" fillId="9" borderId="11" xfId="0" applyFont="1" applyFill="1" applyBorder="1" applyAlignment="1">
      <alignment vertical="center"/>
    </xf>
    <xf numFmtId="0" fontId="1" fillId="9" borderId="0" xfId="0" applyFont="1" applyFill="1" applyAlignment="1">
      <alignment vertical="center"/>
    </xf>
    <xf numFmtId="0" fontId="10" fillId="4" borderId="1" xfId="4" applyFont="1" applyFill="1" applyBorder="1" applyAlignment="1">
      <alignment horizontal="center" vertical="center"/>
    </xf>
    <xf numFmtId="0" fontId="8" fillId="16" borderId="13" xfId="0" applyFont="1" applyFill="1" applyBorder="1" applyAlignment="1">
      <alignment horizontal="center" vertical="center"/>
    </xf>
    <xf numFmtId="0" fontId="8" fillId="16" borderId="14" xfId="0" applyFont="1" applyFill="1" applyBorder="1" applyAlignment="1">
      <alignment horizontal="center" vertical="center"/>
    </xf>
    <xf numFmtId="0" fontId="11" fillId="15" borderId="16" xfId="0" applyFont="1" applyFill="1" applyBorder="1" applyAlignment="1">
      <alignment horizontal="center" vertical="center"/>
    </xf>
    <xf numFmtId="0" fontId="15" fillId="17" borderId="18" xfId="0" applyFont="1" applyFill="1" applyBorder="1"/>
    <xf numFmtId="0" fontId="15" fillId="17" borderId="18" xfId="0" applyFont="1" applyFill="1" applyBorder="1" applyAlignment="1">
      <alignment wrapText="1"/>
    </xf>
    <xf numFmtId="0" fontId="1" fillId="0" borderId="0" xfId="0" applyFont="1" applyAlignment="1">
      <alignment horizontal="center"/>
    </xf>
    <xf numFmtId="0" fontId="1" fillId="9" borderId="9" xfId="0" applyFont="1" applyFill="1" applyBorder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6" fillId="6" borderId="15" xfId="2" applyFont="1" applyBorder="1" applyAlignment="1"/>
    <xf numFmtId="0" fontId="17" fillId="2" borderId="15" xfId="0" applyFont="1" applyFill="1" applyBorder="1" applyAlignment="1">
      <alignment horizontal="left" vertical="center"/>
    </xf>
    <xf numFmtId="0" fontId="18" fillId="12" borderId="15" xfId="1" applyFont="1" applyFill="1" applyBorder="1" applyAlignment="1">
      <alignment vertical="center"/>
    </xf>
    <xf numFmtId="0" fontId="18" fillId="4" borderId="15" xfId="5" applyFont="1" applyFill="1" applyBorder="1" applyAlignment="1">
      <alignment vertical="center"/>
    </xf>
    <xf numFmtId="0" fontId="18" fillId="11" borderId="15" xfId="3" applyFont="1" applyFill="1" applyBorder="1" applyAlignment="1">
      <alignment vertical="center"/>
    </xf>
    <xf numFmtId="0" fontId="12" fillId="13" borderId="1" xfId="0" applyFont="1" applyFill="1" applyBorder="1" applyAlignment="1">
      <alignment horizontal="left" vertical="center"/>
    </xf>
    <xf numFmtId="0" fontId="19" fillId="13" borderId="1" xfId="0" applyFont="1" applyFill="1" applyBorder="1" applyAlignment="1">
      <alignment horizontal="left" vertical="center"/>
    </xf>
    <xf numFmtId="0" fontId="12" fillId="13" borderId="1" xfId="0" applyFont="1" applyFill="1" applyBorder="1" applyAlignment="1">
      <alignment horizontal="center" vertical="center"/>
    </xf>
    <xf numFmtId="0" fontId="12" fillId="18" borderId="1" xfId="0" applyFont="1" applyFill="1" applyBorder="1"/>
    <xf numFmtId="0" fontId="20" fillId="18" borderId="5" xfId="4" applyFont="1" applyFill="1"/>
    <xf numFmtId="0" fontId="12" fillId="2" borderId="20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22" fillId="16" borderId="1" xfId="0" applyFont="1" applyFill="1" applyBorder="1" applyAlignment="1">
      <alignment horizontal="center" vertical="center"/>
    </xf>
    <xf numFmtId="0" fontId="12" fillId="13" borderId="1" xfId="0" applyFont="1" applyFill="1" applyBorder="1"/>
    <xf numFmtId="0" fontId="23" fillId="19" borderId="1" xfId="6" applyFont="1" applyBorder="1"/>
    <xf numFmtId="0" fontId="12" fillId="13" borderId="15" xfId="0" applyFont="1" applyFill="1" applyBorder="1"/>
    <xf numFmtId="0" fontId="24" fillId="20" borderId="22" xfId="7"/>
    <xf numFmtId="0" fontId="24" fillId="20" borderId="22" xfId="7" applyAlignment="1">
      <alignment horizontal="center"/>
    </xf>
    <xf numFmtId="0" fontId="20" fillId="20" borderId="22" xfId="7" applyFont="1" applyAlignment="1">
      <alignment horizontal="center"/>
    </xf>
    <xf numFmtId="0" fontId="24" fillId="20" borderId="22" xfId="7" applyAlignment="1">
      <alignment horizontal="left"/>
    </xf>
    <xf numFmtId="0" fontId="25" fillId="17" borderId="24" xfId="0" applyFont="1" applyFill="1" applyBorder="1"/>
    <xf numFmtId="0" fontId="15" fillId="17" borderId="18" xfId="0" applyFont="1" applyFill="1" applyBorder="1" applyAlignment="1">
      <alignment horizontal="left"/>
    </xf>
    <xf numFmtId="0" fontId="15" fillId="17" borderId="18" xfId="0" applyFont="1" applyFill="1" applyBorder="1" applyAlignment="1">
      <alignment horizontal="left" wrapText="1"/>
    </xf>
    <xf numFmtId="0" fontId="15" fillId="17" borderId="1" xfId="0" applyFont="1" applyFill="1" applyBorder="1" applyAlignment="1">
      <alignment horizontal="left" wrapText="1"/>
    </xf>
    <xf numFmtId="0" fontId="11" fillId="15" borderId="25" xfId="0" applyFont="1" applyFill="1" applyBorder="1" applyAlignment="1">
      <alignment horizontal="center" vertical="center"/>
    </xf>
    <xf numFmtId="0" fontId="25" fillId="17" borderId="24" xfId="0" applyFont="1" applyFill="1" applyBorder="1" applyAlignment="1">
      <alignment horizontal="left" readingOrder="2"/>
    </xf>
    <xf numFmtId="0" fontId="26" fillId="17" borderId="24" xfId="0" applyFont="1" applyFill="1" applyBorder="1"/>
    <xf numFmtId="0" fontId="28" fillId="2" borderId="1" xfId="0" applyFont="1" applyFill="1" applyBorder="1" applyAlignment="1">
      <alignment horizontal="center" vertical="center"/>
    </xf>
    <xf numFmtId="0" fontId="29" fillId="3" borderId="1" xfId="0" applyFont="1" applyFill="1" applyBorder="1" applyAlignment="1">
      <alignment horizontal="center" vertical="center"/>
    </xf>
    <xf numFmtId="0" fontId="30" fillId="0" borderId="0" xfId="0" applyFont="1"/>
    <xf numFmtId="0" fontId="28" fillId="2" borderId="20" xfId="0" applyFont="1" applyFill="1" applyBorder="1" applyAlignment="1">
      <alignment horizontal="center" vertical="center"/>
    </xf>
    <xf numFmtId="0" fontId="25" fillId="17" borderId="24" xfId="0" applyFont="1" applyFill="1" applyBorder="1" applyAlignment="1">
      <alignment horizontal="left"/>
    </xf>
    <xf numFmtId="0" fontId="25" fillId="17" borderId="24" xfId="0" applyFont="1" applyFill="1" applyBorder="1" applyAlignment="1">
      <alignment horizontal="left" vertical="top"/>
    </xf>
    <xf numFmtId="0" fontId="32" fillId="0" borderId="1" xfId="0" applyFont="1" applyBorder="1"/>
    <xf numFmtId="0" fontId="32" fillId="0" borderId="18" xfId="0" applyFont="1" applyBorder="1"/>
    <xf numFmtId="0" fontId="25" fillId="17" borderId="27" xfId="0" applyFont="1" applyFill="1" applyBorder="1"/>
    <xf numFmtId="0" fontId="12" fillId="2" borderId="15" xfId="0" applyFont="1" applyFill="1" applyBorder="1" applyAlignment="1">
      <alignment horizontal="center" vertical="center"/>
    </xf>
    <xf numFmtId="0" fontId="25" fillId="17" borderId="28" xfId="0" applyFont="1" applyFill="1" applyBorder="1"/>
    <xf numFmtId="0" fontId="33" fillId="0" borderId="27" xfId="0" applyFont="1" applyBorder="1" applyAlignment="1">
      <alignment horizontal="left" vertical="top"/>
    </xf>
    <xf numFmtId="0" fontId="26" fillId="0" borderId="27" xfId="0" applyFont="1" applyBorder="1" applyAlignment="1">
      <alignment horizontal="left" vertical="top"/>
    </xf>
    <xf numFmtId="0" fontId="25" fillId="17" borderId="24" xfId="0" applyFont="1" applyFill="1" applyBorder="1" applyAlignment="1">
      <alignment wrapText="1"/>
    </xf>
    <xf numFmtId="0" fontId="12" fillId="14" borderId="17" xfId="0" applyFont="1" applyFill="1" applyBorder="1" applyAlignment="1">
      <alignment horizontal="center" vertical="center"/>
    </xf>
    <xf numFmtId="0" fontId="15" fillId="21" borderId="26" xfId="0" applyFont="1" applyFill="1" applyBorder="1" applyAlignment="1">
      <alignment horizontal="center"/>
    </xf>
    <xf numFmtId="0" fontId="27" fillId="21" borderId="26" xfId="0" applyFont="1" applyFill="1" applyBorder="1" applyAlignment="1">
      <alignment horizontal="center"/>
    </xf>
    <xf numFmtId="0" fontId="34" fillId="0" borderId="0" xfId="0" applyFont="1"/>
    <xf numFmtId="0" fontId="25" fillId="17" borderId="24" xfId="0" applyFont="1" applyFill="1" applyBorder="1" applyAlignment="1">
      <alignment horizontal="left" vertical="center"/>
    </xf>
    <xf numFmtId="0" fontId="25" fillId="17" borderId="24" xfId="0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35" fillId="17" borderId="24" xfId="0" applyFont="1" applyFill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1" fillId="0" borderId="6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8" fillId="16" borderId="3" xfId="0" applyFont="1" applyFill="1" applyBorder="1" applyAlignment="1">
      <alignment horizontal="center" vertical="center"/>
    </xf>
    <xf numFmtId="0" fontId="1" fillId="9" borderId="9" xfId="0" applyFont="1" applyFill="1" applyBorder="1" applyAlignment="1">
      <alignment horizontal="center" vertical="center"/>
    </xf>
    <xf numFmtId="0" fontId="1" fillId="9" borderId="10" xfId="0" applyFont="1" applyFill="1" applyBorder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9" borderId="12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3" fillId="19" borderId="23" xfId="6" applyFont="1" applyBorder="1" applyAlignment="1">
      <alignment horizontal="center"/>
    </xf>
    <xf numFmtId="0" fontId="23" fillId="19" borderId="15" xfId="6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19" xfId="0" applyFont="1" applyBorder="1" applyAlignment="1">
      <alignment horizontal="center"/>
    </xf>
  </cellXfs>
  <cellStyles count="8">
    <cellStyle name="Accent4" xfId="5" builtinId="41"/>
    <cellStyle name="Bad" xfId="2" builtinId="27"/>
    <cellStyle name="Check Cell" xfId="4" builtinId="23"/>
    <cellStyle name="Good" xfId="1" builtinId="26"/>
    <cellStyle name="Input" xfId="3" builtinId="20"/>
    <cellStyle name="Normal" xfId="0" builtinId="0"/>
    <cellStyle name="Note" xfId="6" builtinId="10"/>
    <cellStyle name="Output" xfId="7" builtinId="21"/>
  </cellStyles>
  <dxfs count="29"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7FFE7"/>
      <color rgb="FFFEDAEE"/>
      <color rgb="FFFFFFCC"/>
      <color rgb="FFCCFFCC"/>
      <color rgb="FFFFCCFF"/>
      <color rgb="FFCCFFFF"/>
      <color rgb="FFFF8C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286800434842903E-2"/>
          <c:y val="5.6024492507644449E-2"/>
          <c:w val="0.95741335031956032"/>
          <c:h val="0.6524414750087412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C0000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A73D-439C-BDA1-C08A63E2DC76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A73D-439C-BDA1-C08A63E2DC7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Summery!$A$2:$A$13</c:f>
              <c:strCache>
                <c:ptCount val="12"/>
                <c:pt idx="0">
                  <c:v>Sultan</c:v>
                </c:pt>
                <c:pt idx="1">
                  <c:v>Abeer</c:v>
                </c:pt>
                <c:pt idx="2">
                  <c:v>M. Shahrani</c:v>
                </c:pt>
                <c:pt idx="3">
                  <c:v>Wed</c:v>
                </c:pt>
                <c:pt idx="4">
                  <c:v>S.Dossari</c:v>
                </c:pt>
                <c:pt idx="5">
                  <c:v>Abdullah</c:v>
                </c:pt>
                <c:pt idx="6">
                  <c:v>Milaf</c:v>
                </c:pt>
                <c:pt idx="7">
                  <c:v>M.Aqily</c:v>
                </c:pt>
                <c:pt idx="8">
                  <c:v>Ghaida</c:v>
                </c:pt>
                <c:pt idx="9">
                  <c:v>Amani</c:v>
                </c:pt>
                <c:pt idx="10">
                  <c:v>Menwer</c:v>
                </c:pt>
                <c:pt idx="11">
                  <c:v>A.Driwesh</c:v>
                </c:pt>
              </c:strCache>
            </c:strRef>
          </c:cat>
          <c:val>
            <c:numRef>
              <c:f>Summery!$B$2:$B$13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150</c:v>
                </c:pt>
                <c:pt idx="3">
                  <c:v>68</c:v>
                </c:pt>
                <c:pt idx="4">
                  <c:v>63</c:v>
                </c:pt>
                <c:pt idx="5">
                  <c:v>57</c:v>
                </c:pt>
                <c:pt idx="6">
                  <c:v>228</c:v>
                </c:pt>
                <c:pt idx="7">
                  <c:v>25</c:v>
                </c:pt>
                <c:pt idx="8">
                  <c:v>166</c:v>
                </c:pt>
                <c:pt idx="9">
                  <c:v>8</c:v>
                </c:pt>
                <c:pt idx="10">
                  <c:v>91</c:v>
                </c:pt>
                <c:pt idx="11">
                  <c:v>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A-4FFE-BD60-2E5C1CCC7E0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99516112"/>
        <c:axId val="499521032"/>
      </c:barChart>
      <c:catAx>
        <c:axId val="4995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cap="all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21032"/>
        <c:crosses val="autoZero"/>
        <c:auto val="1"/>
        <c:lblAlgn val="ctr"/>
        <c:lblOffset val="100"/>
        <c:noMultiLvlLbl val="0"/>
      </c:catAx>
      <c:valAx>
        <c:axId val="49952103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49951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Summery!$A$2:$A$13</c:f>
              <c:strCache>
                <c:ptCount val="12"/>
                <c:pt idx="0">
                  <c:v>Sultan</c:v>
                </c:pt>
                <c:pt idx="1">
                  <c:v>Abeer</c:v>
                </c:pt>
                <c:pt idx="2">
                  <c:v>M. Shahrani</c:v>
                </c:pt>
                <c:pt idx="3">
                  <c:v>Wed</c:v>
                </c:pt>
                <c:pt idx="4">
                  <c:v>S.Dossari</c:v>
                </c:pt>
                <c:pt idx="5">
                  <c:v>Abdullah</c:v>
                </c:pt>
                <c:pt idx="6">
                  <c:v>Milaf</c:v>
                </c:pt>
                <c:pt idx="7">
                  <c:v>M.Aqily</c:v>
                </c:pt>
                <c:pt idx="8">
                  <c:v>Ghaida</c:v>
                </c:pt>
                <c:pt idx="9">
                  <c:v>Amani</c:v>
                </c:pt>
                <c:pt idx="10">
                  <c:v>Menwer</c:v>
                </c:pt>
                <c:pt idx="11">
                  <c:v>A.Driwesh</c:v>
                </c:pt>
              </c:strCache>
            </c:strRef>
          </c:cat>
          <c:val>
            <c:numRef>
              <c:f>Summery!$B$2:$B$13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150</c:v>
                </c:pt>
                <c:pt idx="3">
                  <c:v>68</c:v>
                </c:pt>
                <c:pt idx="4">
                  <c:v>63</c:v>
                </c:pt>
                <c:pt idx="5">
                  <c:v>57</c:v>
                </c:pt>
                <c:pt idx="6">
                  <c:v>228</c:v>
                </c:pt>
                <c:pt idx="7">
                  <c:v>25</c:v>
                </c:pt>
                <c:pt idx="8">
                  <c:v>166</c:v>
                </c:pt>
                <c:pt idx="9">
                  <c:v>8</c:v>
                </c:pt>
                <c:pt idx="10">
                  <c:v>91</c:v>
                </c:pt>
                <c:pt idx="11">
                  <c:v>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91F-46A9-84F5-61C21284EAB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14876768"/>
        <c:axId val="614877184"/>
      </c:lineChart>
      <c:catAx>
        <c:axId val="614876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877184"/>
        <c:crosses val="autoZero"/>
        <c:auto val="1"/>
        <c:lblAlgn val="ctr"/>
        <c:lblOffset val="100"/>
        <c:noMultiLvlLbl val="0"/>
      </c:catAx>
      <c:valAx>
        <c:axId val="61487718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14876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g"/><Relationship Id="rId2" Type="http://schemas.openxmlformats.org/officeDocument/2006/relationships/chart" Target="../charts/chart1.xml"/><Relationship Id="rId1" Type="http://schemas.openxmlformats.org/officeDocument/2006/relationships/image" Target="../media/image1.jpe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8965</xdr:rowOff>
    </xdr:from>
    <xdr:to>
      <xdr:col>1</xdr:col>
      <xdr:colOff>4442909</xdr:colOff>
      <xdr:row>1</xdr:row>
      <xdr:rowOff>1308847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965"/>
          <a:ext cx="5243009" cy="241430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6</xdr:col>
      <xdr:colOff>238125</xdr:colOff>
      <xdr:row>10</xdr:row>
      <xdr:rowOff>266700</xdr:rowOff>
    </xdr:from>
    <xdr:to>
      <xdr:col>17</xdr:col>
      <xdr:colOff>124046</xdr:colOff>
      <xdr:row>25</xdr:row>
      <xdr:rowOff>304800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  <a:ext uri="{147F2762-F138-4A5C-976F-8EAC2B608ADB}">
              <a16:predDERef xmlns:a16="http://schemas.microsoft.com/office/drawing/2014/main" pre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503165</xdr:colOff>
      <xdr:row>0</xdr:row>
      <xdr:rowOff>15240</xdr:rowOff>
    </xdr:from>
    <xdr:to>
      <xdr:col>9</xdr:col>
      <xdr:colOff>139156</xdr:colOff>
      <xdr:row>2</xdr:row>
      <xdr:rowOff>39982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88685" y="15240"/>
          <a:ext cx="8078951" cy="2463142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1</xdr:col>
      <xdr:colOff>6484303</xdr:colOff>
      <xdr:row>0</xdr:row>
      <xdr:rowOff>76840</xdr:rowOff>
    </xdr:from>
    <xdr:to>
      <xdr:col>1</xdr:col>
      <xdr:colOff>13412180</xdr:colOff>
      <xdr:row>1</xdr:row>
      <xdr:rowOff>1125710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924" b="17350"/>
        <a:stretch/>
      </xdr:blipFill>
      <xdr:spPr>
        <a:xfrm>
          <a:off x="6926263" y="76840"/>
          <a:ext cx="7303162" cy="2161390"/>
        </a:xfrm>
        <a:prstGeom prst="rect">
          <a:avLst/>
        </a:prstGeom>
        <a:ln w="12700">
          <a:noFill/>
        </a:ln>
      </xdr:spPr>
    </xdr:pic>
    <xdr:clientData/>
  </xdr:twoCellAnchor>
  <xdr:twoCellAnchor>
    <xdr:from>
      <xdr:col>1</xdr:col>
      <xdr:colOff>1744617</xdr:colOff>
      <xdr:row>0</xdr:row>
      <xdr:rowOff>354876</xdr:rowOff>
    </xdr:from>
    <xdr:to>
      <xdr:col>1</xdr:col>
      <xdr:colOff>8610600</xdr:colOff>
      <xdr:row>1</xdr:row>
      <xdr:rowOff>576944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2186577" y="354876"/>
          <a:ext cx="6865983" cy="13345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ar-SA" sz="3600" b="1" baseline="0">
              <a:solidFill>
                <a:srgbClr val="00206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إدارة عمليات الأمن السيبراني</a:t>
          </a:r>
        </a:p>
        <a:p>
          <a:endParaRPr lang="en-US" sz="12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16</xdr:row>
      <xdr:rowOff>66675</xdr:rowOff>
    </xdr:from>
    <xdr:to>
      <xdr:col>4</xdr:col>
      <xdr:colOff>1276350</xdr:colOff>
      <xdr:row>32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083"/>
  <sheetViews>
    <sheetView tabSelected="1" topLeftCell="A565" zoomScale="55" zoomScaleNormal="55" zoomScaleSheetLayoutView="85" workbookViewId="0">
      <selection activeCell="F600" sqref="F600"/>
    </sheetView>
  </sheetViews>
  <sheetFormatPr defaultColWidth="9.28515625" defaultRowHeight="12.75"/>
  <cols>
    <col min="1" max="1" width="12" style="1" bestFit="1" customWidth="1"/>
    <col min="2" max="2" width="207.5703125" style="71" bestFit="1" customWidth="1"/>
    <col min="3" max="3" width="17.28515625" style="35" customWidth="1"/>
    <col min="4" max="4" width="21.140625" style="20" customWidth="1"/>
    <col min="5" max="5" width="41.7109375" style="20" customWidth="1"/>
    <col min="6" max="6" width="21.140625" style="20" customWidth="1"/>
    <col min="7" max="7" width="4.140625" style="2" customWidth="1"/>
    <col min="8" max="8" width="38.7109375" style="2" customWidth="1"/>
    <col min="9" max="9" width="17" style="2" customWidth="1"/>
    <col min="10" max="10" width="9.85546875" style="2" customWidth="1"/>
    <col min="11" max="15" width="7.7109375" style="2" customWidth="1"/>
    <col min="16" max="16" width="3.85546875" style="2" customWidth="1"/>
    <col min="17" max="16384" width="9.28515625" style="2"/>
  </cols>
  <sheetData>
    <row r="1" spans="1:22" ht="87.75" customHeight="1">
      <c r="A1" s="10"/>
      <c r="B1" s="11"/>
      <c r="C1" s="21"/>
      <c r="D1" s="21"/>
      <c r="E1" s="21"/>
      <c r="F1" s="2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77"/>
      <c r="S1" s="77"/>
      <c r="T1" s="77"/>
      <c r="U1" s="77"/>
      <c r="V1" s="78"/>
    </row>
    <row r="2" spans="1:22" ht="104.25" customHeight="1">
      <c r="A2" s="12"/>
      <c r="B2" s="13"/>
      <c r="C2" s="22"/>
      <c r="D2" s="22"/>
      <c r="E2" s="22"/>
      <c r="F2" s="22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79"/>
      <c r="S2" s="79"/>
      <c r="T2" s="79"/>
      <c r="U2" s="79"/>
      <c r="V2" s="80"/>
    </row>
    <row r="3" spans="1:22" ht="41.45" customHeight="1">
      <c r="A3" s="15" t="s">
        <v>0</v>
      </c>
      <c r="B3" s="16" t="s">
        <v>1</v>
      </c>
      <c r="C3" s="16" t="s">
        <v>2</v>
      </c>
      <c r="D3" s="16" t="s">
        <v>3</v>
      </c>
      <c r="E3" s="16" t="s">
        <v>4</v>
      </c>
      <c r="F3" s="16" t="s">
        <v>5</v>
      </c>
      <c r="G3" s="73"/>
      <c r="H3" s="76" t="s">
        <v>6</v>
      </c>
      <c r="I3" s="76"/>
      <c r="J3" s="81"/>
      <c r="K3" s="81"/>
      <c r="L3" s="81"/>
      <c r="M3" s="81"/>
      <c r="N3" s="81"/>
      <c r="O3" s="81"/>
      <c r="P3" s="81"/>
      <c r="Q3" s="81"/>
      <c r="R3" s="79"/>
      <c r="S3" s="79"/>
      <c r="T3" s="79"/>
      <c r="U3" s="79"/>
      <c r="V3" s="80"/>
    </row>
    <row r="4" spans="1:22" ht="30" customHeight="1">
      <c r="A4" s="17">
        <v>1</v>
      </c>
      <c r="B4" s="47" t="s">
        <v>7</v>
      </c>
      <c r="C4" s="4" t="s">
        <v>8</v>
      </c>
      <c r="D4" s="5" t="s">
        <v>9</v>
      </c>
      <c r="E4" s="65" t="s">
        <v>10</v>
      </c>
      <c r="F4" s="34" t="s">
        <v>11</v>
      </c>
      <c r="G4" s="73"/>
      <c r="H4" s="24" t="s">
        <v>12</v>
      </c>
      <c r="I4" s="23">
        <f>COUNTIF(F4:F805,"Pending")</f>
        <v>0</v>
      </c>
      <c r="J4" s="81"/>
      <c r="K4" s="81"/>
      <c r="L4" s="81"/>
      <c r="M4" s="81"/>
      <c r="N4" s="81"/>
      <c r="O4" s="81"/>
      <c r="P4" s="81"/>
      <c r="Q4" s="81"/>
      <c r="R4" s="79"/>
      <c r="S4" s="79"/>
      <c r="T4" s="79"/>
      <c r="U4" s="79"/>
      <c r="V4" s="80"/>
    </row>
    <row r="5" spans="1:22" ht="30" customHeight="1">
      <c r="A5" s="17">
        <v>2</v>
      </c>
      <c r="B5" s="46" t="s">
        <v>13</v>
      </c>
      <c r="C5" s="4" t="s">
        <v>8</v>
      </c>
      <c r="D5" s="5" t="s">
        <v>9</v>
      </c>
      <c r="E5" s="65" t="s">
        <v>14</v>
      </c>
      <c r="F5" s="34" t="s">
        <v>11</v>
      </c>
      <c r="G5" s="73"/>
      <c r="H5" s="25" t="s">
        <v>15</v>
      </c>
      <c r="I5" s="23">
        <f>COUNTIF(F4:F805,"In Progress")</f>
        <v>12</v>
      </c>
      <c r="J5" s="81"/>
      <c r="K5" s="81"/>
      <c r="L5" s="81"/>
      <c r="M5" s="81"/>
      <c r="N5" s="81"/>
      <c r="O5" s="81"/>
      <c r="P5" s="81"/>
      <c r="Q5" s="81"/>
      <c r="R5" s="79"/>
      <c r="S5" s="79"/>
      <c r="T5" s="79"/>
      <c r="U5" s="79"/>
      <c r="V5" s="80"/>
    </row>
    <row r="6" spans="1:22" ht="30" customHeight="1">
      <c r="A6" s="17">
        <v>3</v>
      </c>
      <c r="B6" s="19" t="s">
        <v>16</v>
      </c>
      <c r="C6" s="4" t="s">
        <v>8</v>
      </c>
      <c r="D6" s="5" t="s">
        <v>9</v>
      </c>
      <c r="E6" s="65" t="s">
        <v>17</v>
      </c>
      <c r="F6" s="34" t="s">
        <v>11</v>
      </c>
      <c r="G6" s="73"/>
      <c r="H6" s="26" t="s">
        <v>11</v>
      </c>
      <c r="I6" s="23">
        <f>COUNTIF(F4:F805,"Completed")</f>
        <v>790</v>
      </c>
      <c r="J6" s="81"/>
      <c r="K6" s="81"/>
      <c r="L6" s="81"/>
      <c r="M6" s="81"/>
      <c r="N6" s="81"/>
      <c r="O6" s="81"/>
      <c r="P6" s="81"/>
      <c r="Q6" s="81"/>
      <c r="R6" s="79"/>
      <c r="S6" s="79"/>
      <c r="T6" s="79"/>
      <c r="U6" s="79"/>
      <c r="V6" s="80"/>
    </row>
    <row r="7" spans="1:22" ht="30" customHeight="1">
      <c r="A7" s="17">
        <v>4</v>
      </c>
      <c r="B7" s="44" t="s">
        <v>18</v>
      </c>
      <c r="C7" s="4" t="s">
        <v>8</v>
      </c>
      <c r="D7" s="5" t="s">
        <v>9</v>
      </c>
      <c r="E7" s="65" t="s">
        <v>10</v>
      </c>
      <c r="F7" s="34" t="s">
        <v>15</v>
      </c>
      <c r="G7" s="73"/>
      <c r="H7" s="27" t="s">
        <v>19</v>
      </c>
      <c r="I7" s="23">
        <f>COUNTIF(F3:F684,"Escalation ")</f>
        <v>0</v>
      </c>
      <c r="J7" s="81"/>
      <c r="K7" s="81"/>
      <c r="L7" s="81"/>
      <c r="M7" s="81"/>
      <c r="N7" s="81"/>
      <c r="O7" s="81"/>
      <c r="P7" s="81"/>
      <c r="Q7" s="81"/>
      <c r="R7" s="79"/>
      <c r="S7" s="79"/>
      <c r="T7" s="79"/>
      <c r="U7" s="79"/>
      <c r="V7" s="80"/>
    </row>
    <row r="8" spans="1:22" ht="30" customHeight="1">
      <c r="A8" s="17">
        <v>5</v>
      </c>
      <c r="B8" s="44" t="s">
        <v>20</v>
      </c>
      <c r="C8" s="4" t="s">
        <v>8</v>
      </c>
      <c r="D8" s="5" t="s">
        <v>21</v>
      </c>
      <c r="E8" s="65" t="s">
        <v>22</v>
      </c>
      <c r="F8" s="34" t="s">
        <v>11</v>
      </c>
      <c r="G8" s="73"/>
      <c r="H8" s="28" t="s">
        <v>23</v>
      </c>
      <c r="I8" s="23">
        <f>COUNTIF(F4:F805,"Hold")</f>
        <v>0</v>
      </c>
      <c r="J8" s="81"/>
      <c r="K8" s="81"/>
      <c r="L8" s="81"/>
      <c r="M8" s="81"/>
      <c r="N8" s="81"/>
      <c r="O8" s="81"/>
      <c r="P8" s="81"/>
      <c r="Q8" s="81"/>
      <c r="R8" s="79"/>
      <c r="S8" s="79"/>
      <c r="T8" s="79"/>
      <c r="U8" s="79"/>
      <c r="V8" s="80"/>
    </row>
    <row r="9" spans="1:22" ht="30" customHeight="1">
      <c r="A9" s="17">
        <v>6</v>
      </c>
      <c r="B9" s="44" t="s">
        <v>24</v>
      </c>
      <c r="C9" s="4" t="s">
        <v>8</v>
      </c>
      <c r="D9" s="5" t="s">
        <v>25</v>
      </c>
      <c r="E9" s="66" t="s">
        <v>17</v>
      </c>
      <c r="F9" s="34" t="s">
        <v>11</v>
      </c>
      <c r="G9" s="73"/>
      <c r="H9" s="6" t="s">
        <v>26</v>
      </c>
      <c r="I9" s="14">
        <f>SUM(I4:I8)</f>
        <v>802</v>
      </c>
      <c r="J9" s="81"/>
      <c r="K9" s="81"/>
      <c r="L9" s="81"/>
      <c r="M9" s="81"/>
      <c r="N9" s="81"/>
      <c r="O9" s="81"/>
      <c r="P9" s="81"/>
      <c r="Q9" s="81"/>
      <c r="R9" s="79"/>
      <c r="S9" s="79"/>
      <c r="T9" s="79"/>
      <c r="U9" s="79"/>
      <c r="V9" s="80"/>
    </row>
    <row r="10" spans="1:22" ht="30" customHeight="1">
      <c r="A10" s="17">
        <v>7</v>
      </c>
      <c r="B10" s="44" t="s">
        <v>27</v>
      </c>
      <c r="C10" s="4" t="s">
        <v>8</v>
      </c>
      <c r="D10" s="5" t="s">
        <v>25</v>
      </c>
      <c r="E10" s="66" t="s">
        <v>17</v>
      </c>
      <c r="F10" s="34" t="s">
        <v>11</v>
      </c>
      <c r="G10" s="73"/>
      <c r="H10" s="74"/>
      <c r="I10" s="74"/>
      <c r="J10" s="81"/>
      <c r="K10" s="81"/>
      <c r="L10" s="81"/>
      <c r="M10" s="81"/>
      <c r="N10" s="81"/>
      <c r="O10" s="81"/>
      <c r="P10" s="81"/>
      <c r="Q10" s="81"/>
      <c r="R10" s="79"/>
      <c r="S10" s="79"/>
      <c r="T10" s="79"/>
      <c r="U10" s="79"/>
      <c r="V10" s="80"/>
    </row>
    <row r="11" spans="1:22" ht="30" customHeight="1">
      <c r="A11" s="17">
        <v>8</v>
      </c>
      <c r="B11" s="44" t="s">
        <v>28</v>
      </c>
      <c r="C11" s="4" t="s">
        <v>8</v>
      </c>
      <c r="D11" s="5" t="s">
        <v>25</v>
      </c>
      <c r="E11" s="66" t="s">
        <v>17</v>
      </c>
      <c r="F11" s="34" t="s">
        <v>11</v>
      </c>
      <c r="G11" s="73"/>
      <c r="H11" s="75"/>
      <c r="I11" s="75"/>
      <c r="J11" s="75"/>
      <c r="K11" s="75"/>
      <c r="L11" s="75"/>
      <c r="M11" s="75"/>
      <c r="N11" s="75"/>
      <c r="O11" s="75"/>
      <c r="P11" s="75"/>
      <c r="Q11" s="75"/>
      <c r="R11" s="79"/>
      <c r="S11" s="79"/>
      <c r="T11" s="79"/>
      <c r="U11" s="79"/>
      <c r="V11" s="80"/>
    </row>
    <row r="12" spans="1:22" ht="30" customHeight="1">
      <c r="A12" s="17">
        <v>9</v>
      </c>
      <c r="B12" s="44" t="s">
        <v>29</v>
      </c>
      <c r="C12" s="4" t="s">
        <v>8</v>
      </c>
      <c r="D12" s="5" t="s">
        <v>25</v>
      </c>
      <c r="E12" s="66" t="s">
        <v>30</v>
      </c>
      <c r="F12" s="34" t="s">
        <v>11</v>
      </c>
      <c r="G12" s="73"/>
      <c r="H12" s="75"/>
      <c r="I12" s="75"/>
      <c r="J12" s="75"/>
      <c r="K12" s="75"/>
      <c r="L12" s="75"/>
      <c r="M12" s="75"/>
      <c r="N12" s="75"/>
      <c r="O12" s="75"/>
      <c r="P12" s="75"/>
      <c r="Q12" s="75"/>
      <c r="R12" s="79"/>
      <c r="S12" s="79"/>
      <c r="T12" s="79"/>
      <c r="U12" s="79"/>
      <c r="V12" s="80"/>
    </row>
    <row r="13" spans="1:22" ht="30" customHeight="1">
      <c r="A13" s="17">
        <v>10</v>
      </c>
      <c r="B13" s="44" t="s">
        <v>31</v>
      </c>
      <c r="C13" s="4" t="s">
        <v>8</v>
      </c>
      <c r="D13" s="5" t="s">
        <v>25</v>
      </c>
      <c r="E13" s="66" t="s">
        <v>30</v>
      </c>
      <c r="F13" s="34" t="s">
        <v>11</v>
      </c>
      <c r="G13" s="73"/>
      <c r="H13" s="75"/>
      <c r="I13" s="75"/>
      <c r="J13" s="75"/>
      <c r="K13" s="75"/>
      <c r="L13" s="75"/>
      <c r="M13" s="75"/>
      <c r="N13" s="75"/>
      <c r="O13" s="75"/>
      <c r="P13" s="75"/>
      <c r="Q13" s="75"/>
      <c r="R13" s="79"/>
      <c r="S13" s="79"/>
      <c r="T13" s="79"/>
      <c r="U13" s="79"/>
      <c r="V13" s="80"/>
    </row>
    <row r="14" spans="1:22" ht="30" customHeight="1">
      <c r="A14" s="17">
        <v>11</v>
      </c>
      <c r="B14" s="44" t="s">
        <v>32</v>
      </c>
      <c r="C14" s="4" t="s">
        <v>8</v>
      </c>
      <c r="D14" s="5" t="s">
        <v>25</v>
      </c>
      <c r="E14" s="66" t="s">
        <v>30</v>
      </c>
      <c r="F14" s="34" t="s">
        <v>11</v>
      </c>
      <c r="G14" s="73"/>
      <c r="H14" s="75"/>
      <c r="I14" s="75"/>
      <c r="J14" s="75"/>
      <c r="K14" s="75"/>
      <c r="L14" s="75"/>
      <c r="M14" s="75"/>
      <c r="N14" s="75"/>
      <c r="O14" s="75"/>
      <c r="P14" s="75"/>
      <c r="Q14" s="75"/>
      <c r="R14" s="79"/>
      <c r="S14" s="79"/>
      <c r="T14" s="79"/>
      <c r="U14" s="79"/>
      <c r="V14" s="80"/>
    </row>
    <row r="15" spans="1:22" ht="30" customHeight="1">
      <c r="A15" s="17">
        <v>12</v>
      </c>
      <c r="B15" s="44" t="s">
        <v>33</v>
      </c>
      <c r="C15" s="4" t="s">
        <v>8</v>
      </c>
      <c r="D15" s="5" t="s">
        <v>25</v>
      </c>
      <c r="E15" s="66" t="s">
        <v>30</v>
      </c>
      <c r="F15" s="34" t="s">
        <v>11</v>
      </c>
      <c r="G15" s="73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9"/>
      <c r="S15" s="79"/>
      <c r="T15" s="79"/>
      <c r="U15" s="79"/>
      <c r="V15" s="80"/>
    </row>
    <row r="16" spans="1:22" ht="30" customHeight="1">
      <c r="A16" s="17">
        <v>13</v>
      </c>
      <c r="B16" s="44" t="s">
        <v>34</v>
      </c>
      <c r="C16" s="4" t="s">
        <v>8</v>
      </c>
      <c r="D16" s="5" t="s">
        <v>25</v>
      </c>
      <c r="E16" s="66" t="s">
        <v>30</v>
      </c>
      <c r="F16" s="34" t="s">
        <v>11</v>
      </c>
      <c r="G16" s="73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9"/>
      <c r="S16" s="79"/>
      <c r="T16" s="79"/>
      <c r="U16" s="79"/>
      <c r="V16" s="80"/>
    </row>
    <row r="17" spans="1:22" ht="30" customHeight="1">
      <c r="A17" s="17">
        <v>14</v>
      </c>
      <c r="B17" s="44" t="s">
        <v>35</v>
      </c>
      <c r="C17" s="4" t="s">
        <v>8</v>
      </c>
      <c r="D17" s="5" t="s">
        <v>25</v>
      </c>
      <c r="E17" s="66" t="s">
        <v>30</v>
      </c>
      <c r="F17" s="34" t="s">
        <v>11</v>
      </c>
      <c r="G17" s="73"/>
      <c r="H17" s="75"/>
      <c r="I17" s="75"/>
      <c r="J17" s="75"/>
      <c r="K17" s="75"/>
      <c r="L17" s="75"/>
      <c r="M17" s="75"/>
      <c r="N17" s="75"/>
      <c r="O17" s="75"/>
      <c r="P17" s="75"/>
      <c r="Q17" s="75"/>
      <c r="R17" s="79"/>
      <c r="S17" s="79"/>
      <c r="T17" s="79"/>
      <c r="U17" s="79"/>
      <c r="V17" s="80"/>
    </row>
    <row r="18" spans="1:22" ht="30" customHeight="1">
      <c r="A18" s="17">
        <v>15</v>
      </c>
      <c r="B18" s="44" t="s">
        <v>36</v>
      </c>
      <c r="C18" s="4" t="s">
        <v>8</v>
      </c>
      <c r="D18" s="5" t="s">
        <v>25</v>
      </c>
      <c r="E18" s="66" t="s">
        <v>30</v>
      </c>
      <c r="F18" s="34" t="s">
        <v>11</v>
      </c>
      <c r="G18" s="73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9"/>
      <c r="S18" s="79"/>
      <c r="T18" s="79"/>
      <c r="U18" s="79"/>
      <c r="V18" s="80"/>
    </row>
    <row r="19" spans="1:22" ht="30" customHeight="1">
      <c r="A19" s="17">
        <v>16</v>
      </c>
      <c r="B19" s="44" t="s">
        <v>37</v>
      </c>
      <c r="C19" s="4" t="s">
        <v>8</v>
      </c>
      <c r="D19" s="5" t="s">
        <v>25</v>
      </c>
      <c r="E19" s="66" t="s">
        <v>38</v>
      </c>
      <c r="F19" s="34" t="s">
        <v>11</v>
      </c>
      <c r="G19" s="73"/>
      <c r="H19" s="75"/>
      <c r="I19" s="75"/>
      <c r="J19" s="75"/>
      <c r="K19" s="75"/>
      <c r="L19" s="75"/>
      <c r="M19" s="75"/>
      <c r="N19" s="75"/>
      <c r="O19" s="75"/>
      <c r="P19" s="75"/>
      <c r="Q19" s="75"/>
      <c r="R19" s="79"/>
      <c r="S19" s="79"/>
      <c r="T19" s="79"/>
      <c r="U19" s="79"/>
      <c r="V19" s="80"/>
    </row>
    <row r="20" spans="1:22" ht="30" customHeight="1">
      <c r="A20" s="17">
        <v>17</v>
      </c>
      <c r="B20" s="49" t="s">
        <v>39</v>
      </c>
      <c r="C20" s="4" t="s">
        <v>8</v>
      </c>
      <c r="D20" s="5" t="s">
        <v>25</v>
      </c>
      <c r="E20" s="66" t="s">
        <v>38</v>
      </c>
      <c r="F20" s="34" t="s">
        <v>11</v>
      </c>
      <c r="G20" s="73"/>
      <c r="H20" s="75"/>
      <c r="I20" s="75"/>
      <c r="J20" s="75"/>
      <c r="K20" s="75"/>
      <c r="L20" s="75"/>
      <c r="M20" s="75"/>
      <c r="N20" s="75"/>
      <c r="O20" s="75"/>
      <c r="P20" s="75"/>
      <c r="Q20" s="75"/>
      <c r="R20" s="79"/>
      <c r="S20" s="79"/>
      <c r="T20" s="79"/>
      <c r="U20" s="79"/>
      <c r="V20" s="80"/>
    </row>
    <row r="21" spans="1:22" ht="30" customHeight="1">
      <c r="A21" s="17">
        <v>18</v>
      </c>
      <c r="B21" s="44" t="s">
        <v>40</v>
      </c>
      <c r="C21" s="4" t="s">
        <v>8</v>
      </c>
      <c r="D21" s="5" t="s">
        <v>25</v>
      </c>
      <c r="E21" s="66" t="s">
        <v>30</v>
      </c>
      <c r="F21" s="34" t="s">
        <v>11</v>
      </c>
      <c r="G21" s="73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79"/>
      <c r="S21" s="79"/>
      <c r="T21" s="79"/>
      <c r="U21" s="79"/>
      <c r="V21" s="80"/>
    </row>
    <row r="22" spans="1:22" ht="30" customHeight="1">
      <c r="A22" s="17">
        <v>19</v>
      </c>
      <c r="B22" s="44" t="s">
        <v>41</v>
      </c>
      <c r="C22" s="4" t="s">
        <v>8</v>
      </c>
      <c r="D22" s="5" t="s">
        <v>25</v>
      </c>
      <c r="E22" s="66" t="s">
        <v>30</v>
      </c>
      <c r="F22" s="34" t="s">
        <v>11</v>
      </c>
      <c r="G22" s="73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9"/>
      <c r="S22" s="79"/>
      <c r="T22" s="79"/>
      <c r="U22" s="79"/>
      <c r="V22" s="80"/>
    </row>
    <row r="23" spans="1:22" ht="30" customHeight="1">
      <c r="A23" s="17">
        <v>20</v>
      </c>
      <c r="B23" s="44" t="s">
        <v>42</v>
      </c>
      <c r="C23" s="4" t="s">
        <v>8</v>
      </c>
      <c r="D23" s="5" t="s">
        <v>25</v>
      </c>
      <c r="E23" s="66" t="s">
        <v>17</v>
      </c>
      <c r="F23" s="34" t="s">
        <v>11</v>
      </c>
      <c r="G23" s="73"/>
      <c r="H23" s="75"/>
      <c r="I23" s="75"/>
      <c r="J23" s="75"/>
      <c r="K23" s="75"/>
      <c r="L23" s="75"/>
      <c r="M23" s="75"/>
      <c r="N23" s="75"/>
      <c r="O23" s="75"/>
      <c r="P23" s="75"/>
      <c r="Q23" s="75"/>
      <c r="R23" s="79"/>
      <c r="S23" s="79"/>
      <c r="T23" s="79"/>
      <c r="U23" s="79"/>
      <c r="V23" s="80"/>
    </row>
    <row r="24" spans="1:22" ht="30" customHeight="1">
      <c r="A24" s="17">
        <v>21</v>
      </c>
      <c r="B24" s="44" t="s">
        <v>43</v>
      </c>
      <c r="C24" s="4" t="s">
        <v>8</v>
      </c>
      <c r="D24" s="5" t="s">
        <v>25</v>
      </c>
      <c r="E24" s="66" t="s">
        <v>17</v>
      </c>
      <c r="F24" s="34" t="s">
        <v>11</v>
      </c>
      <c r="G24" s="73"/>
      <c r="H24" s="75"/>
      <c r="I24" s="75"/>
      <c r="J24" s="75"/>
      <c r="K24" s="75"/>
      <c r="L24" s="75"/>
      <c r="M24" s="75"/>
      <c r="N24" s="75"/>
      <c r="O24" s="75"/>
      <c r="P24" s="75"/>
      <c r="Q24" s="75"/>
      <c r="R24" s="79"/>
      <c r="S24" s="79"/>
      <c r="T24" s="79"/>
      <c r="U24" s="79"/>
      <c r="V24" s="80"/>
    </row>
    <row r="25" spans="1:22" ht="30" customHeight="1">
      <c r="A25" s="17">
        <v>22</v>
      </c>
      <c r="B25" s="44" t="s">
        <v>44</v>
      </c>
      <c r="C25" s="4" t="s">
        <v>8</v>
      </c>
      <c r="D25" s="5" t="s">
        <v>25</v>
      </c>
      <c r="E25" s="66" t="s">
        <v>17</v>
      </c>
      <c r="F25" s="34" t="s">
        <v>11</v>
      </c>
      <c r="G25" s="73"/>
      <c r="H25" s="75"/>
      <c r="I25" s="75"/>
      <c r="J25" s="75"/>
      <c r="K25" s="75"/>
      <c r="L25" s="75"/>
      <c r="M25" s="75"/>
      <c r="N25" s="75"/>
      <c r="O25" s="75"/>
      <c r="P25" s="75"/>
      <c r="Q25" s="75"/>
      <c r="R25" s="79"/>
      <c r="S25" s="79"/>
      <c r="T25" s="79"/>
      <c r="U25" s="79"/>
      <c r="V25" s="80"/>
    </row>
    <row r="26" spans="1:22" ht="30" customHeight="1">
      <c r="A26" s="17">
        <v>23</v>
      </c>
      <c r="B26" s="49" t="s">
        <v>45</v>
      </c>
      <c r="C26" s="4" t="s">
        <v>8</v>
      </c>
      <c r="D26" s="5" t="s">
        <v>25</v>
      </c>
      <c r="E26" s="66" t="s">
        <v>17</v>
      </c>
      <c r="F26" s="34" t="s">
        <v>11</v>
      </c>
      <c r="G26" s="73"/>
      <c r="H26" s="75"/>
      <c r="I26" s="75"/>
      <c r="J26" s="75"/>
      <c r="K26" s="75"/>
      <c r="L26" s="75"/>
      <c r="M26" s="75"/>
      <c r="N26" s="75"/>
      <c r="O26" s="75"/>
      <c r="P26" s="75"/>
      <c r="Q26" s="75"/>
      <c r="R26" s="79"/>
      <c r="S26" s="79"/>
      <c r="T26" s="79"/>
      <c r="U26" s="79"/>
      <c r="V26" s="80"/>
    </row>
    <row r="27" spans="1:22" ht="30" customHeight="1">
      <c r="A27" s="17">
        <v>25</v>
      </c>
      <c r="B27" s="45" t="s">
        <v>46</v>
      </c>
      <c r="C27" s="4" t="s">
        <v>8</v>
      </c>
      <c r="D27" s="5" t="s">
        <v>25</v>
      </c>
      <c r="E27" s="66" t="s">
        <v>38</v>
      </c>
      <c r="F27" s="34" t="s">
        <v>11</v>
      </c>
      <c r="G27" s="73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9"/>
      <c r="S27" s="79"/>
      <c r="T27" s="79"/>
      <c r="U27" s="79"/>
      <c r="V27" s="80"/>
    </row>
    <row r="28" spans="1:22" ht="30" customHeight="1">
      <c r="A28" s="17">
        <v>26</v>
      </c>
      <c r="B28" s="18" t="s">
        <v>47</v>
      </c>
      <c r="C28" s="4" t="s">
        <v>8</v>
      </c>
      <c r="D28" s="5" t="s">
        <v>48</v>
      </c>
      <c r="E28" s="65" t="s">
        <v>10</v>
      </c>
      <c r="F28" s="34" t="s">
        <v>15</v>
      </c>
      <c r="G28" s="73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9"/>
      <c r="S28" s="79"/>
      <c r="T28" s="79"/>
      <c r="U28" s="79"/>
      <c r="V28" s="80"/>
    </row>
    <row r="29" spans="1:22" ht="30" customHeight="1">
      <c r="A29" s="17">
        <v>27</v>
      </c>
      <c r="B29" s="45" t="s">
        <v>49</v>
      </c>
      <c r="C29" s="4" t="s">
        <v>8</v>
      </c>
      <c r="D29" s="5" t="s">
        <v>48</v>
      </c>
      <c r="E29" s="65" t="s">
        <v>10</v>
      </c>
      <c r="F29" s="34" t="s">
        <v>11</v>
      </c>
      <c r="G29" s="73"/>
      <c r="H29" s="75"/>
      <c r="I29" s="75"/>
      <c r="J29" s="75"/>
      <c r="K29" s="75"/>
      <c r="L29" s="75"/>
      <c r="M29" s="75"/>
      <c r="N29" s="75"/>
      <c r="O29" s="75"/>
      <c r="P29" s="75"/>
      <c r="Q29" s="75"/>
      <c r="R29" s="79"/>
      <c r="S29" s="79"/>
      <c r="T29" s="79"/>
      <c r="U29" s="79"/>
      <c r="V29" s="80"/>
    </row>
    <row r="30" spans="1:22" ht="30" customHeight="1">
      <c r="A30" s="17">
        <v>28</v>
      </c>
      <c r="B30" s="45" t="s">
        <v>50</v>
      </c>
      <c r="C30" s="4" t="s">
        <v>8</v>
      </c>
      <c r="D30" s="5" t="s">
        <v>48</v>
      </c>
      <c r="E30" s="65" t="s">
        <v>10</v>
      </c>
      <c r="F30" s="34" t="s">
        <v>15</v>
      </c>
      <c r="G30" s="73"/>
      <c r="H30" s="75"/>
      <c r="I30" s="75"/>
      <c r="J30" s="75"/>
      <c r="K30" s="75"/>
      <c r="L30" s="75"/>
      <c r="M30" s="75"/>
      <c r="N30" s="75"/>
      <c r="O30" s="75"/>
      <c r="P30" s="75"/>
      <c r="Q30" s="75"/>
      <c r="R30" s="79"/>
      <c r="S30" s="79"/>
      <c r="T30" s="79"/>
      <c r="U30" s="79"/>
      <c r="V30" s="80"/>
    </row>
    <row r="31" spans="1:22" ht="30" customHeight="1">
      <c r="A31" s="17">
        <v>29</v>
      </c>
      <c r="B31" s="18" t="s">
        <v>51</v>
      </c>
      <c r="C31" s="4" t="s">
        <v>8</v>
      </c>
      <c r="D31" s="5" t="s">
        <v>48</v>
      </c>
      <c r="E31" s="65" t="s">
        <v>10</v>
      </c>
      <c r="F31" s="34" t="s">
        <v>11</v>
      </c>
      <c r="G31" s="73"/>
      <c r="H31" s="75"/>
      <c r="I31" s="75"/>
      <c r="J31" s="75"/>
      <c r="K31" s="75"/>
      <c r="L31" s="75"/>
      <c r="M31" s="75"/>
      <c r="N31" s="75"/>
      <c r="O31" s="75"/>
      <c r="P31" s="75"/>
      <c r="Q31" s="75"/>
      <c r="R31" s="79"/>
      <c r="S31" s="79"/>
      <c r="T31" s="79"/>
      <c r="U31" s="79"/>
      <c r="V31" s="80"/>
    </row>
    <row r="32" spans="1:22" ht="30" customHeight="1">
      <c r="A32" s="17">
        <v>30</v>
      </c>
      <c r="B32" s="18" t="s">
        <v>52</v>
      </c>
      <c r="C32" s="4" t="s">
        <v>8</v>
      </c>
      <c r="D32" s="5" t="s">
        <v>48</v>
      </c>
      <c r="E32" s="65" t="s">
        <v>10</v>
      </c>
      <c r="F32" s="34" t="s">
        <v>11</v>
      </c>
      <c r="G32" s="73"/>
      <c r="H32" s="75"/>
      <c r="I32" s="75"/>
      <c r="J32" s="75"/>
      <c r="K32" s="75"/>
      <c r="L32" s="75"/>
      <c r="M32" s="75"/>
      <c r="N32" s="75"/>
      <c r="O32" s="75"/>
      <c r="P32" s="75"/>
      <c r="Q32" s="75"/>
      <c r="R32" s="79"/>
      <c r="S32" s="79"/>
      <c r="T32" s="79"/>
      <c r="U32" s="79"/>
      <c r="V32" s="80"/>
    </row>
    <row r="33" spans="1:22" ht="30" customHeight="1">
      <c r="A33" s="17">
        <v>31</v>
      </c>
      <c r="B33" s="45" t="s">
        <v>53</v>
      </c>
      <c r="C33" s="4" t="s">
        <v>8</v>
      </c>
      <c r="D33" s="5" t="s">
        <v>48</v>
      </c>
      <c r="E33" s="65" t="s">
        <v>10</v>
      </c>
      <c r="F33" s="34" t="s">
        <v>11</v>
      </c>
      <c r="G33" s="73"/>
      <c r="H33" s="75"/>
      <c r="I33" s="75"/>
      <c r="J33" s="75"/>
      <c r="K33" s="75"/>
      <c r="L33" s="75"/>
      <c r="M33" s="75"/>
      <c r="N33" s="75"/>
      <c r="O33" s="75"/>
      <c r="P33" s="75"/>
      <c r="Q33" s="75"/>
      <c r="R33" s="79"/>
      <c r="S33" s="79"/>
      <c r="T33" s="79"/>
      <c r="U33" s="79"/>
      <c r="V33" s="80"/>
    </row>
    <row r="34" spans="1:22" ht="30" customHeight="1">
      <c r="A34" s="17">
        <v>32</v>
      </c>
      <c r="B34" s="45" t="s">
        <v>54</v>
      </c>
      <c r="C34" s="4" t="s">
        <v>8</v>
      </c>
      <c r="D34" s="5" t="s">
        <v>48</v>
      </c>
      <c r="E34" s="65" t="s">
        <v>10</v>
      </c>
      <c r="F34" s="34" t="s">
        <v>11</v>
      </c>
      <c r="G34" s="73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79"/>
      <c r="S34" s="79"/>
      <c r="T34" s="79"/>
      <c r="U34" s="79"/>
      <c r="V34" s="80"/>
    </row>
    <row r="35" spans="1:22" ht="30" customHeight="1">
      <c r="A35" s="17">
        <v>33</v>
      </c>
      <c r="B35" s="18" t="s">
        <v>55</v>
      </c>
      <c r="C35" s="4" t="s">
        <v>8</v>
      </c>
      <c r="D35" s="5" t="s">
        <v>48</v>
      </c>
      <c r="E35" s="65" t="s">
        <v>10</v>
      </c>
      <c r="F35" s="34" t="s">
        <v>11</v>
      </c>
      <c r="G35" s="73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79"/>
      <c r="S35" s="79"/>
      <c r="T35" s="79"/>
      <c r="U35" s="79"/>
      <c r="V35" s="80"/>
    </row>
    <row r="36" spans="1:22" ht="30" customHeight="1">
      <c r="A36" s="17">
        <v>34</v>
      </c>
      <c r="B36" s="46" t="s">
        <v>56</v>
      </c>
      <c r="C36" s="4" t="s">
        <v>8</v>
      </c>
      <c r="D36" s="5" t="s">
        <v>48</v>
      </c>
      <c r="E36" s="65" t="s">
        <v>10</v>
      </c>
      <c r="F36" s="34" t="s">
        <v>15</v>
      </c>
      <c r="G36" s="73"/>
      <c r="H36" s="75"/>
      <c r="I36" s="75"/>
      <c r="J36" s="75"/>
      <c r="K36" s="75"/>
      <c r="L36" s="75"/>
      <c r="M36" s="75"/>
      <c r="N36" s="75"/>
      <c r="O36" s="75"/>
      <c r="P36" s="75"/>
      <c r="Q36" s="75"/>
      <c r="R36" s="79"/>
      <c r="S36" s="79"/>
      <c r="T36" s="79"/>
      <c r="U36" s="79"/>
      <c r="V36" s="80"/>
    </row>
    <row r="37" spans="1:22" ht="30" customHeight="1">
      <c r="A37" s="17">
        <v>35</v>
      </c>
      <c r="B37" s="45" t="s">
        <v>57</v>
      </c>
      <c r="C37" s="4" t="s">
        <v>8</v>
      </c>
      <c r="D37" s="5" t="s">
        <v>48</v>
      </c>
      <c r="E37" s="65" t="s">
        <v>10</v>
      </c>
      <c r="F37" s="34" t="s">
        <v>11</v>
      </c>
      <c r="G37" s="73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9"/>
      <c r="S37" s="79"/>
      <c r="T37" s="79"/>
      <c r="U37" s="79"/>
      <c r="V37" s="80"/>
    </row>
    <row r="38" spans="1:22" ht="30" customHeight="1">
      <c r="A38" s="17">
        <v>36</v>
      </c>
      <c r="B38" s="45" t="s">
        <v>58</v>
      </c>
      <c r="C38" s="4" t="s">
        <v>8</v>
      </c>
      <c r="D38" s="5" t="s">
        <v>48</v>
      </c>
      <c r="E38" s="65" t="s">
        <v>10</v>
      </c>
      <c r="F38" s="34" t="s">
        <v>11</v>
      </c>
      <c r="G38" s="73"/>
      <c r="H38" s="75"/>
      <c r="I38" s="75"/>
      <c r="J38" s="75"/>
      <c r="K38" s="75"/>
      <c r="L38" s="75"/>
      <c r="M38" s="75"/>
      <c r="N38" s="75"/>
      <c r="O38" s="75"/>
      <c r="P38" s="75"/>
      <c r="Q38" s="75"/>
      <c r="R38" s="79"/>
      <c r="S38" s="79"/>
      <c r="T38" s="79"/>
      <c r="U38" s="79"/>
      <c r="V38" s="80"/>
    </row>
    <row r="39" spans="1:22" ht="30" customHeight="1">
      <c r="A39" s="17">
        <v>37</v>
      </c>
      <c r="B39" s="18" t="s">
        <v>59</v>
      </c>
      <c r="C39" s="4" t="s">
        <v>8</v>
      </c>
      <c r="D39" s="5" t="s">
        <v>48</v>
      </c>
      <c r="E39" s="65" t="s">
        <v>10</v>
      </c>
      <c r="F39" s="34" t="s">
        <v>11</v>
      </c>
      <c r="G39" s="73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9"/>
      <c r="S39" s="79"/>
      <c r="T39" s="79"/>
      <c r="U39" s="79"/>
      <c r="V39" s="80"/>
    </row>
    <row r="40" spans="1:22" ht="30" customHeight="1">
      <c r="A40" s="17">
        <v>38</v>
      </c>
      <c r="B40" s="19" t="s">
        <v>60</v>
      </c>
      <c r="C40" s="4" t="s">
        <v>8</v>
      </c>
      <c r="D40" s="5" t="s">
        <v>48</v>
      </c>
      <c r="E40" s="65" t="s">
        <v>10</v>
      </c>
      <c r="F40" s="34" t="s">
        <v>15</v>
      </c>
      <c r="G40" s="73"/>
      <c r="H40" s="75"/>
      <c r="I40" s="75"/>
      <c r="J40" s="75"/>
      <c r="K40" s="75"/>
      <c r="L40" s="75"/>
      <c r="M40" s="75"/>
      <c r="N40" s="75"/>
      <c r="O40" s="75"/>
      <c r="P40" s="75"/>
      <c r="Q40" s="75"/>
      <c r="R40" s="79"/>
      <c r="S40" s="79"/>
      <c r="T40" s="79"/>
      <c r="U40" s="79"/>
      <c r="V40" s="80"/>
    </row>
    <row r="41" spans="1:22" ht="30" customHeight="1">
      <c r="A41" s="17">
        <v>39</v>
      </c>
      <c r="B41" s="45" t="s">
        <v>61</v>
      </c>
      <c r="C41" s="4" t="s">
        <v>8</v>
      </c>
      <c r="D41" s="5" t="s">
        <v>48</v>
      </c>
      <c r="E41" s="65" t="s">
        <v>10</v>
      </c>
      <c r="F41" s="34" t="s">
        <v>11</v>
      </c>
      <c r="G41" s="73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9"/>
      <c r="S41" s="79"/>
      <c r="T41" s="79"/>
      <c r="U41" s="79"/>
      <c r="V41" s="80"/>
    </row>
    <row r="42" spans="1:22" ht="30" customHeight="1">
      <c r="A42" s="17">
        <v>40</v>
      </c>
      <c r="B42" s="18" t="s">
        <v>62</v>
      </c>
      <c r="C42" s="4" t="s">
        <v>8</v>
      </c>
      <c r="D42" s="5" t="s">
        <v>48</v>
      </c>
      <c r="E42" s="65" t="s">
        <v>10</v>
      </c>
      <c r="F42" s="34" t="s">
        <v>15</v>
      </c>
      <c r="G42" s="73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9"/>
      <c r="S42" s="79"/>
      <c r="T42" s="79"/>
      <c r="U42" s="79"/>
      <c r="V42" s="80"/>
    </row>
    <row r="43" spans="1:22" ht="30" customHeight="1">
      <c r="A43" s="17">
        <v>41</v>
      </c>
      <c r="B43" s="18" t="s">
        <v>63</v>
      </c>
      <c r="C43" s="4" t="s">
        <v>8</v>
      </c>
      <c r="D43" s="5" t="s">
        <v>48</v>
      </c>
      <c r="E43" s="65" t="s">
        <v>10</v>
      </c>
      <c r="F43" s="34" t="s">
        <v>15</v>
      </c>
      <c r="G43" s="73"/>
      <c r="H43" s="75"/>
      <c r="I43" s="75"/>
      <c r="J43" s="75"/>
      <c r="K43" s="75"/>
      <c r="L43" s="75"/>
      <c r="M43" s="75"/>
      <c r="N43" s="75"/>
      <c r="O43" s="75"/>
      <c r="P43" s="75"/>
      <c r="Q43" s="75"/>
      <c r="R43" s="79"/>
      <c r="S43" s="79"/>
      <c r="T43" s="79"/>
      <c r="U43" s="79"/>
      <c r="V43" s="80"/>
    </row>
    <row r="44" spans="1:22" ht="30" customHeight="1">
      <c r="A44" s="17">
        <v>42</v>
      </c>
      <c r="B44" s="45" t="s">
        <v>64</v>
      </c>
      <c r="C44" s="4" t="s">
        <v>8</v>
      </c>
      <c r="D44" s="5" t="s">
        <v>48</v>
      </c>
      <c r="E44" s="65" t="s">
        <v>10</v>
      </c>
      <c r="F44" s="34" t="s">
        <v>15</v>
      </c>
      <c r="G44" s="73"/>
      <c r="H44" s="75"/>
      <c r="I44" s="75"/>
      <c r="J44" s="75"/>
      <c r="K44" s="75"/>
      <c r="L44" s="75"/>
      <c r="M44" s="75"/>
      <c r="N44" s="75"/>
      <c r="O44" s="75"/>
      <c r="P44" s="75"/>
      <c r="Q44" s="75"/>
      <c r="R44" s="79"/>
      <c r="S44" s="79"/>
      <c r="T44" s="79"/>
      <c r="U44" s="79"/>
      <c r="V44" s="80"/>
    </row>
    <row r="45" spans="1:22" ht="30" customHeight="1">
      <c r="A45" s="17">
        <v>43</v>
      </c>
      <c r="B45" s="18" t="s">
        <v>65</v>
      </c>
      <c r="C45" s="4" t="s">
        <v>8</v>
      </c>
      <c r="D45" s="5" t="s">
        <v>48</v>
      </c>
      <c r="E45" s="65" t="s">
        <v>10</v>
      </c>
      <c r="F45" s="34" t="s">
        <v>15</v>
      </c>
      <c r="G45" s="73"/>
      <c r="H45" s="75"/>
      <c r="I45" s="75"/>
      <c r="J45" s="75"/>
      <c r="K45" s="75"/>
      <c r="L45" s="75"/>
      <c r="M45" s="75"/>
      <c r="N45" s="75"/>
      <c r="O45" s="75"/>
      <c r="P45" s="75"/>
      <c r="Q45" s="75"/>
      <c r="R45" s="79"/>
      <c r="S45" s="79"/>
      <c r="T45" s="79"/>
      <c r="U45" s="79"/>
      <c r="V45" s="80"/>
    </row>
    <row r="46" spans="1:22" ht="30" customHeight="1">
      <c r="A46" s="17">
        <v>44</v>
      </c>
      <c r="B46" s="18" t="s">
        <v>66</v>
      </c>
      <c r="C46" s="4" t="s">
        <v>8</v>
      </c>
      <c r="D46" s="5" t="s">
        <v>48</v>
      </c>
      <c r="E46" s="65" t="s">
        <v>10</v>
      </c>
      <c r="F46" s="34" t="s">
        <v>11</v>
      </c>
      <c r="G46" s="73"/>
      <c r="H46" s="75"/>
      <c r="I46" s="75"/>
      <c r="J46" s="75"/>
      <c r="K46" s="75"/>
      <c r="L46" s="75"/>
      <c r="M46" s="75"/>
      <c r="N46" s="75"/>
      <c r="O46" s="75"/>
      <c r="P46" s="75"/>
      <c r="Q46" s="75"/>
      <c r="R46" s="79"/>
      <c r="S46" s="79"/>
      <c r="T46" s="79"/>
      <c r="U46" s="79"/>
      <c r="V46" s="80"/>
    </row>
    <row r="47" spans="1:22" ht="30" customHeight="1">
      <c r="A47" s="17">
        <v>45</v>
      </c>
      <c r="B47" s="18" t="s">
        <v>67</v>
      </c>
      <c r="C47" s="4" t="s">
        <v>8</v>
      </c>
      <c r="D47" s="5" t="s">
        <v>48</v>
      </c>
      <c r="E47" s="65" t="s">
        <v>10</v>
      </c>
      <c r="F47" s="34" t="s">
        <v>15</v>
      </c>
      <c r="G47" s="73"/>
      <c r="H47" s="75"/>
      <c r="I47" s="75"/>
      <c r="J47" s="75"/>
      <c r="K47" s="75"/>
      <c r="L47" s="75"/>
      <c r="M47" s="75"/>
      <c r="N47" s="75"/>
      <c r="O47" s="75"/>
      <c r="P47" s="75"/>
      <c r="Q47" s="75"/>
      <c r="R47" s="79"/>
      <c r="S47" s="79"/>
      <c r="T47" s="79"/>
      <c r="U47" s="79"/>
      <c r="V47" s="80"/>
    </row>
    <row r="48" spans="1:22" ht="30" customHeight="1">
      <c r="A48" s="17">
        <v>46</v>
      </c>
      <c r="B48" s="19" t="s">
        <v>68</v>
      </c>
      <c r="C48" s="4" t="s">
        <v>8</v>
      </c>
      <c r="D48" s="5" t="s">
        <v>48</v>
      </c>
      <c r="E48" s="65" t="s">
        <v>10</v>
      </c>
      <c r="F48" s="34" t="s">
        <v>11</v>
      </c>
      <c r="G48" s="73"/>
      <c r="H48" s="75"/>
      <c r="I48" s="75"/>
      <c r="J48" s="75"/>
      <c r="K48" s="75"/>
      <c r="L48" s="75"/>
      <c r="M48" s="75"/>
      <c r="N48" s="75"/>
      <c r="O48" s="75"/>
      <c r="P48" s="75"/>
      <c r="Q48" s="75"/>
      <c r="R48" s="79"/>
      <c r="S48" s="79"/>
      <c r="T48" s="79"/>
      <c r="U48" s="79"/>
      <c r="V48" s="80"/>
    </row>
    <row r="49" spans="1:22" ht="30" customHeight="1">
      <c r="A49" s="17">
        <v>47</v>
      </c>
      <c r="B49" s="18" t="s">
        <v>69</v>
      </c>
      <c r="C49" s="4" t="s">
        <v>8</v>
      </c>
      <c r="D49" s="5" t="s">
        <v>48</v>
      </c>
      <c r="E49" s="65" t="s">
        <v>10</v>
      </c>
      <c r="F49" s="34" t="s">
        <v>11</v>
      </c>
      <c r="G49" s="73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9"/>
      <c r="S49" s="79"/>
      <c r="T49" s="79"/>
      <c r="U49" s="79"/>
      <c r="V49" s="80"/>
    </row>
    <row r="50" spans="1:22" ht="30" customHeight="1">
      <c r="A50" s="17">
        <v>48</v>
      </c>
      <c r="B50" s="18" t="s">
        <v>70</v>
      </c>
      <c r="C50" s="4" t="s">
        <v>8</v>
      </c>
      <c r="D50" s="5" t="s">
        <v>48</v>
      </c>
      <c r="E50" s="65" t="s">
        <v>10</v>
      </c>
      <c r="F50" s="34" t="s">
        <v>11</v>
      </c>
      <c r="G50" s="73"/>
      <c r="H50" s="75"/>
      <c r="I50" s="75"/>
      <c r="J50" s="75"/>
      <c r="K50" s="75"/>
      <c r="L50" s="75"/>
      <c r="M50" s="75"/>
      <c r="N50" s="75"/>
      <c r="O50" s="75"/>
      <c r="P50" s="75"/>
      <c r="Q50" s="75"/>
      <c r="R50" s="79"/>
      <c r="S50" s="79"/>
      <c r="T50" s="79"/>
      <c r="U50" s="79"/>
      <c r="V50" s="80"/>
    </row>
    <row r="51" spans="1:22" ht="30" customHeight="1">
      <c r="A51" s="17">
        <v>49</v>
      </c>
      <c r="B51" s="45" t="s">
        <v>71</v>
      </c>
      <c r="C51" s="4" t="s">
        <v>8</v>
      </c>
      <c r="D51" s="5" t="s">
        <v>21</v>
      </c>
      <c r="E51" s="65" t="s">
        <v>22</v>
      </c>
      <c r="F51" s="34" t="s">
        <v>11</v>
      </c>
      <c r="G51" s="73"/>
      <c r="H51" s="75"/>
      <c r="I51" s="75"/>
      <c r="J51" s="75"/>
      <c r="K51" s="75"/>
      <c r="L51" s="75"/>
      <c r="M51" s="75"/>
      <c r="N51" s="75"/>
      <c r="O51" s="75"/>
      <c r="P51" s="75"/>
      <c r="Q51" s="75"/>
      <c r="R51" s="79"/>
      <c r="S51" s="79"/>
      <c r="T51" s="79"/>
      <c r="U51" s="79"/>
      <c r="V51" s="80"/>
    </row>
    <row r="52" spans="1:22" ht="30" customHeight="1">
      <c r="A52" s="17">
        <v>50</v>
      </c>
      <c r="B52" s="45" t="s">
        <v>72</v>
      </c>
      <c r="C52" s="4" t="s">
        <v>8</v>
      </c>
      <c r="D52" s="5" t="s">
        <v>21</v>
      </c>
      <c r="E52" s="65" t="s">
        <v>22</v>
      </c>
      <c r="F52" s="34" t="s">
        <v>11</v>
      </c>
      <c r="G52" s="73"/>
      <c r="H52" s="75"/>
      <c r="I52" s="75"/>
      <c r="J52" s="75"/>
      <c r="K52" s="75"/>
      <c r="L52" s="75"/>
      <c r="M52" s="75"/>
      <c r="N52" s="75"/>
      <c r="O52" s="75"/>
      <c r="P52" s="75"/>
      <c r="Q52" s="75"/>
      <c r="R52" s="79"/>
      <c r="S52" s="79"/>
      <c r="T52" s="79"/>
      <c r="U52" s="79"/>
      <c r="V52" s="80"/>
    </row>
    <row r="53" spans="1:22" ht="30" customHeight="1">
      <c r="A53" s="17">
        <v>51</v>
      </c>
      <c r="B53" s="45" t="s">
        <v>73</v>
      </c>
      <c r="C53" s="4" t="s">
        <v>8</v>
      </c>
      <c r="D53" s="5" t="s">
        <v>21</v>
      </c>
      <c r="E53" s="65" t="s">
        <v>22</v>
      </c>
      <c r="F53" s="34" t="s">
        <v>11</v>
      </c>
      <c r="G53" s="73"/>
      <c r="H53" s="75"/>
      <c r="I53" s="75"/>
      <c r="J53" s="75"/>
      <c r="K53" s="75"/>
      <c r="L53" s="75"/>
      <c r="M53" s="75"/>
      <c r="N53" s="75"/>
      <c r="O53" s="75"/>
      <c r="P53" s="75"/>
      <c r="Q53" s="75"/>
      <c r="R53" s="79"/>
      <c r="S53" s="79"/>
      <c r="T53" s="79"/>
      <c r="U53" s="79"/>
      <c r="V53" s="80"/>
    </row>
    <row r="54" spans="1:22" ht="30" customHeight="1">
      <c r="A54" s="17">
        <v>52</v>
      </c>
      <c r="B54" s="45" t="s">
        <v>74</v>
      </c>
      <c r="C54" s="4" t="s">
        <v>8</v>
      </c>
      <c r="D54" s="5" t="s">
        <v>21</v>
      </c>
      <c r="E54" s="65" t="s">
        <v>22</v>
      </c>
      <c r="F54" s="34" t="s">
        <v>11</v>
      </c>
      <c r="G54" s="73"/>
      <c r="H54" s="75"/>
      <c r="I54" s="75"/>
      <c r="J54" s="75"/>
      <c r="K54" s="75"/>
      <c r="L54" s="75"/>
      <c r="M54" s="75"/>
      <c r="N54" s="75"/>
      <c r="O54" s="75"/>
      <c r="P54" s="75"/>
      <c r="Q54" s="75"/>
      <c r="R54" s="79"/>
      <c r="S54" s="79"/>
      <c r="T54" s="79"/>
      <c r="U54" s="79"/>
      <c r="V54" s="80"/>
    </row>
    <row r="55" spans="1:22" ht="30" customHeight="1">
      <c r="A55" s="17">
        <v>53</v>
      </c>
      <c r="B55" s="45" t="s">
        <v>75</v>
      </c>
      <c r="C55" s="4" t="s">
        <v>8</v>
      </c>
      <c r="D55" s="5" t="s">
        <v>21</v>
      </c>
      <c r="E55" s="65" t="s">
        <v>22</v>
      </c>
      <c r="F55" s="34" t="s">
        <v>11</v>
      </c>
      <c r="G55" s="73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9"/>
      <c r="S55" s="79"/>
      <c r="T55" s="79"/>
      <c r="U55" s="79"/>
      <c r="V55" s="80"/>
    </row>
    <row r="56" spans="1:22" ht="30" customHeight="1">
      <c r="A56" s="17">
        <v>54</v>
      </c>
      <c r="B56" s="45" t="s">
        <v>76</v>
      </c>
      <c r="C56" s="4" t="s">
        <v>8</v>
      </c>
      <c r="D56" s="5" t="s">
        <v>21</v>
      </c>
      <c r="E56" s="65" t="s">
        <v>22</v>
      </c>
      <c r="F56" s="34" t="s">
        <v>11</v>
      </c>
      <c r="G56" s="73"/>
      <c r="H56" s="75"/>
      <c r="I56" s="75"/>
      <c r="J56" s="75"/>
      <c r="K56" s="75"/>
      <c r="L56" s="75"/>
      <c r="M56" s="75"/>
      <c r="N56" s="75"/>
      <c r="O56" s="75"/>
      <c r="P56" s="75"/>
      <c r="Q56" s="75"/>
      <c r="R56" s="79"/>
      <c r="S56" s="79"/>
      <c r="T56" s="79"/>
      <c r="U56" s="79"/>
      <c r="V56" s="80"/>
    </row>
    <row r="57" spans="1:22" ht="30" customHeight="1">
      <c r="A57" s="17">
        <v>55</v>
      </c>
      <c r="B57" s="45" t="s">
        <v>77</v>
      </c>
      <c r="C57" s="4" t="s">
        <v>8</v>
      </c>
      <c r="D57" s="5" t="s">
        <v>21</v>
      </c>
      <c r="E57" s="65" t="s">
        <v>22</v>
      </c>
      <c r="F57" s="34" t="s">
        <v>11</v>
      </c>
      <c r="G57" s="73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9"/>
      <c r="S57" s="79"/>
      <c r="T57" s="79"/>
      <c r="U57" s="79"/>
      <c r="V57" s="80"/>
    </row>
    <row r="58" spans="1:22" ht="30" customHeight="1">
      <c r="A58" s="17">
        <v>56</v>
      </c>
      <c r="B58" s="45" t="s">
        <v>78</v>
      </c>
      <c r="C58" s="4" t="s">
        <v>8</v>
      </c>
      <c r="D58" s="5" t="s">
        <v>21</v>
      </c>
      <c r="E58" s="65" t="s">
        <v>22</v>
      </c>
      <c r="F58" s="34" t="s">
        <v>11</v>
      </c>
      <c r="G58" s="73"/>
      <c r="H58" s="75"/>
      <c r="I58" s="75"/>
      <c r="J58" s="75"/>
      <c r="K58" s="75"/>
      <c r="L58" s="75"/>
      <c r="M58" s="75"/>
      <c r="N58" s="75"/>
      <c r="O58" s="75"/>
      <c r="P58" s="75"/>
      <c r="Q58" s="75"/>
      <c r="R58" s="79"/>
      <c r="S58" s="79"/>
      <c r="T58" s="79"/>
      <c r="U58" s="79"/>
      <c r="V58" s="80"/>
    </row>
    <row r="59" spans="1:22" ht="30" customHeight="1">
      <c r="A59" s="17">
        <v>57</v>
      </c>
      <c r="B59" s="44" t="s">
        <v>79</v>
      </c>
      <c r="C59" s="4" t="s">
        <v>8</v>
      </c>
      <c r="D59" s="5" t="s">
        <v>21</v>
      </c>
      <c r="E59" s="65" t="s">
        <v>80</v>
      </c>
      <c r="F59" s="34" t="s">
        <v>11</v>
      </c>
      <c r="G59" s="73"/>
      <c r="H59" s="75"/>
      <c r="I59" s="75"/>
      <c r="J59" s="75"/>
      <c r="K59" s="75"/>
      <c r="L59" s="75"/>
      <c r="M59" s="75"/>
      <c r="N59" s="75"/>
      <c r="O59" s="75"/>
      <c r="P59" s="75"/>
      <c r="Q59" s="75"/>
      <c r="R59" s="79"/>
      <c r="S59" s="79"/>
      <c r="T59" s="79"/>
      <c r="U59" s="79"/>
      <c r="V59" s="80"/>
    </row>
    <row r="60" spans="1:22" ht="30" customHeight="1">
      <c r="A60" s="17">
        <v>58</v>
      </c>
      <c r="B60" s="44" t="s">
        <v>81</v>
      </c>
      <c r="C60" s="4" t="s">
        <v>8</v>
      </c>
      <c r="D60" s="5" t="s">
        <v>48</v>
      </c>
      <c r="E60" s="65" t="s">
        <v>10</v>
      </c>
      <c r="F60" s="34" t="s">
        <v>11</v>
      </c>
      <c r="G60" s="73"/>
      <c r="H60" s="75"/>
      <c r="I60" s="75"/>
      <c r="J60" s="75"/>
      <c r="K60" s="75"/>
      <c r="L60" s="75"/>
      <c r="M60" s="75"/>
      <c r="N60" s="75"/>
      <c r="O60" s="75"/>
      <c r="P60" s="75"/>
      <c r="Q60" s="75"/>
      <c r="R60" s="79"/>
      <c r="S60" s="79"/>
      <c r="T60" s="79"/>
      <c r="U60" s="79"/>
      <c r="V60" s="80"/>
    </row>
    <row r="61" spans="1:22" ht="30" customHeight="1">
      <c r="A61" s="17">
        <v>59</v>
      </c>
      <c r="B61" s="45" t="s">
        <v>82</v>
      </c>
      <c r="C61" s="4" t="s">
        <v>8</v>
      </c>
      <c r="D61" s="5" t="s">
        <v>21</v>
      </c>
      <c r="E61" s="65" t="s">
        <v>22</v>
      </c>
      <c r="F61" s="34" t="s">
        <v>11</v>
      </c>
      <c r="G61" s="73"/>
      <c r="H61" s="75"/>
      <c r="I61" s="75"/>
      <c r="J61" s="75"/>
      <c r="K61" s="75"/>
      <c r="L61" s="75"/>
      <c r="M61" s="75"/>
      <c r="N61" s="75"/>
      <c r="O61" s="75"/>
      <c r="P61" s="75"/>
      <c r="Q61" s="75"/>
      <c r="R61" s="79"/>
      <c r="S61" s="79"/>
      <c r="T61" s="79"/>
      <c r="U61" s="79"/>
      <c r="V61" s="80"/>
    </row>
    <row r="62" spans="1:22" ht="30" customHeight="1">
      <c r="A62" s="17">
        <v>60</v>
      </c>
      <c r="B62" s="44" t="s">
        <v>83</v>
      </c>
      <c r="C62" s="4" t="s">
        <v>8</v>
      </c>
      <c r="D62" s="5" t="s">
        <v>48</v>
      </c>
      <c r="E62" s="65" t="s">
        <v>10</v>
      </c>
      <c r="F62" s="34" t="s">
        <v>11</v>
      </c>
      <c r="G62" s="73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9"/>
      <c r="S62" s="79"/>
      <c r="T62" s="79"/>
      <c r="U62" s="79"/>
      <c r="V62" s="80"/>
    </row>
    <row r="63" spans="1:22" ht="30" customHeight="1">
      <c r="A63" s="17">
        <v>61</v>
      </c>
      <c r="B63" s="44" t="s">
        <v>84</v>
      </c>
      <c r="C63" s="4" t="s">
        <v>85</v>
      </c>
      <c r="D63" s="5" t="s">
        <v>25</v>
      </c>
      <c r="E63" s="66" t="s">
        <v>17</v>
      </c>
      <c r="F63" s="34" t="s">
        <v>11</v>
      </c>
      <c r="G63" s="73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9"/>
      <c r="S63" s="79"/>
      <c r="T63" s="79"/>
      <c r="U63" s="79"/>
      <c r="V63" s="80"/>
    </row>
    <row r="64" spans="1:22" ht="30" customHeight="1">
      <c r="A64" s="17">
        <v>62</v>
      </c>
      <c r="B64" s="44" t="s">
        <v>86</v>
      </c>
      <c r="C64" s="4" t="s">
        <v>85</v>
      </c>
      <c r="D64" s="5" t="s">
        <v>25</v>
      </c>
      <c r="E64" s="66" t="s">
        <v>17</v>
      </c>
      <c r="F64" s="34" t="s">
        <v>11</v>
      </c>
      <c r="G64" s="73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9"/>
      <c r="S64" s="79"/>
      <c r="T64" s="79"/>
      <c r="U64" s="79"/>
      <c r="V64" s="80"/>
    </row>
    <row r="65" spans="1:22" ht="30" customHeight="1">
      <c r="A65" s="17">
        <v>63</v>
      </c>
      <c r="B65" s="44" t="s">
        <v>87</v>
      </c>
      <c r="C65" s="4" t="s">
        <v>85</v>
      </c>
      <c r="D65" s="5" t="s">
        <v>25</v>
      </c>
      <c r="E65" s="66" t="s">
        <v>17</v>
      </c>
      <c r="F65" s="34" t="s">
        <v>11</v>
      </c>
      <c r="G65" s="73"/>
      <c r="H65" s="75"/>
      <c r="I65" s="75"/>
      <c r="J65" s="75"/>
      <c r="K65" s="75"/>
      <c r="L65" s="75"/>
      <c r="M65" s="75"/>
      <c r="N65" s="75"/>
      <c r="O65" s="75"/>
      <c r="P65" s="75"/>
      <c r="Q65" s="75"/>
      <c r="R65" s="79"/>
      <c r="S65" s="79"/>
      <c r="T65" s="79"/>
      <c r="U65" s="79"/>
      <c r="V65" s="80"/>
    </row>
    <row r="66" spans="1:22" ht="30" customHeight="1">
      <c r="A66" s="17">
        <v>64</v>
      </c>
      <c r="B66" s="44" t="s">
        <v>88</v>
      </c>
      <c r="C66" s="4" t="s">
        <v>85</v>
      </c>
      <c r="D66" s="5" t="s">
        <v>25</v>
      </c>
      <c r="E66" s="66" t="s">
        <v>30</v>
      </c>
      <c r="F66" s="34" t="s">
        <v>11</v>
      </c>
      <c r="G66" s="73"/>
      <c r="H66" s="75"/>
      <c r="I66" s="75"/>
      <c r="J66" s="75"/>
      <c r="K66" s="75"/>
      <c r="L66" s="75"/>
      <c r="M66" s="75"/>
      <c r="N66" s="75"/>
      <c r="O66" s="75"/>
      <c r="P66" s="75"/>
      <c r="Q66" s="75"/>
      <c r="R66" s="79"/>
      <c r="S66" s="79"/>
      <c r="T66" s="79"/>
      <c r="U66" s="79"/>
      <c r="V66" s="80"/>
    </row>
    <row r="67" spans="1:22" ht="30" customHeight="1">
      <c r="A67" s="17">
        <v>65</v>
      </c>
      <c r="B67" s="44" t="s">
        <v>89</v>
      </c>
      <c r="C67" s="4" t="s">
        <v>85</v>
      </c>
      <c r="D67" s="5" t="s">
        <v>25</v>
      </c>
      <c r="E67" s="66" t="s">
        <v>30</v>
      </c>
      <c r="F67" s="34" t="s">
        <v>11</v>
      </c>
      <c r="G67" s="73"/>
      <c r="H67" s="75"/>
      <c r="I67" s="75"/>
      <c r="J67" s="75"/>
      <c r="K67" s="75"/>
      <c r="L67" s="75"/>
      <c r="M67" s="75"/>
      <c r="N67" s="75"/>
      <c r="O67" s="75"/>
      <c r="P67" s="75"/>
      <c r="Q67" s="75"/>
      <c r="R67" s="79"/>
      <c r="S67" s="79"/>
      <c r="T67" s="79"/>
      <c r="U67" s="79"/>
      <c r="V67" s="80"/>
    </row>
    <row r="68" spans="1:22" ht="30" customHeight="1">
      <c r="A68" s="17">
        <v>66</v>
      </c>
      <c r="B68" s="44" t="s">
        <v>90</v>
      </c>
      <c r="C68" s="4" t="s">
        <v>85</v>
      </c>
      <c r="D68" s="5" t="s">
        <v>25</v>
      </c>
      <c r="E68" s="66" t="s">
        <v>91</v>
      </c>
      <c r="F68" s="34" t="s">
        <v>11</v>
      </c>
      <c r="G68" s="73"/>
      <c r="H68" s="75"/>
      <c r="I68" s="75"/>
      <c r="J68" s="75"/>
      <c r="K68" s="75"/>
      <c r="L68" s="75"/>
      <c r="M68" s="75"/>
      <c r="N68" s="75"/>
      <c r="O68" s="75"/>
      <c r="P68" s="75"/>
      <c r="Q68" s="75"/>
      <c r="R68" s="79"/>
      <c r="S68" s="79"/>
      <c r="T68" s="79"/>
      <c r="U68" s="79"/>
      <c r="V68" s="80"/>
    </row>
    <row r="69" spans="1:22" ht="30" customHeight="1">
      <c r="A69" s="17">
        <v>67</v>
      </c>
      <c r="B69" s="44" t="s">
        <v>92</v>
      </c>
      <c r="C69" s="4" t="s">
        <v>85</v>
      </c>
      <c r="D69" s="5" t="s">
        <v>25</v>
      </c>
      <c r="E69" s="66" t="s">
        <v>22</v>
      </c>
      <c r="F69" s="34" t="s">
        <v>11</v>
      </c>
      <c r="G69" s="73"/>
      <c r="H69" s="75"/>
      <c r="I69" s="75"/>
      <c r="J69" s="75"/>
      <c r="K69" s="75"/>
      <c r="L69" s="75"/>
      <c r="M69" s="75"/>
      <c r="N69" s="75"/>
      <c r="O69" s="75"/>
      <c r="P69" s="75"/>
      <c r="Q69" s="75"/>
      <c r="R69" s="79"/>
      <c r="S69" s="79"/>
      <c r="T69" s="79"/>
      <c r="U69" s="79"/>
      <c r="V69" s="80"/>
    </row>
    <row r="70" spans="1:22" ht="30" customHeight="1">
      <c r="A70" s="17">
        <v>68</v>
      </c>
      <c r="B70" s="44" t="s">
        <v>93</v>
      </c>
      <c r="C70" s="4" t="s">
        <v>85</v>
      </c>
      <c r="D70" s="5" t="s">
        <v>21</v>
      </c>
      <c r="E70" s="65" t="s">
        <v>22</v>
      </c>
      <c r="F70" s="34" t="s">
        <v>11</v>
      </c>
      <c r="G70" s="73"/>
      <c r="H70" s="75"/>
      <c r="I70" s="75"/>
      <c r="J70" s="75"/>
      <c r="K70" s="75"/>
      <c r="L70" s="75"/>
      <c r="M70" s="75"/>
      <c r="N70" s="75"/>
      <c r="O70" s="75"/>
      <c r="P70" s="75"/>
      <c r="Q70" s="75"/>
      <c r="R70" s="79"/>
      <c r="S70" s="79"/>
      <c r="T70" s="79"/>
      <c r="U70" s="79"/>
      <c r="V70" s="80"/>
    </row>
    <row r="71" spans="1:22" ht="30" customHeight="1">
      <c r="A71" s="17">
        <v>69</v>
      </c>
      <c r="B71" s="44" t="s">
        <v>94</v>
      </c>
      <c r="C71" s="4" t="s">
        <v>85</v>
      </c>
      <c r="D71" s="5" t="s">
        <v>21</v>
      </c>
      <c r="E71" s="65" t="s">
        <v>22</v>
      </c>
      <c r="F71" s="34" t="s">
        <v>11</v>
      </c>
      <c r="G71" s="73"/>
      <c r="H71" s="75"/>
      <c r="I71" s="75"/>
      <c r="J71" s="75"/>
      <c r="K71" s="75"/>
      <c r="L71" s="75"/>
      <c r="M71" s="75"/>
      <c r="N71" s="75"/>
      <c r="O71" s="75"/>
      <c r="P71" s="75"/>
      <c r="Q71" s="75"/>
      <c r="R71" s="79"/>
      <c r="S71" s="79"/>
      <c r="T71" s="79"/>
      <c r="U71" s="79"/>
      <c r="V71" s="80"/>
    </row>
    <row r="72" spans="1:22" ht="30" customHeight="1">
      <c r="A72" s="17">
        <v>70</v>
      </c>
      <c r="B72" s="44" t="s">
        <v>95</v>
      </c>
      <c r="C72" s="4" t="s">
        <v>85</v>
      </c>
      <c r="D72" s="5" t="s">
        <v>21</v>
      </c>
      <c r="E72" s="65" t="s">
        <v>22</v>
      </c>
      <c r="F72" s="34" t="s">
        <v>11</v>
      </c>
      <c r="G72" s="73"/>
      <c r="H72" s="75"/>
      <c r="I72" s="75"/>
      <c r="J72" s="75"/>
      <c r="K72" s="75"/>
      <c r="L72" s="75"/>
      <c r="M72" s="75"/>
      <c r="N72" s="75"/>
      <c r="O72" s="75"/>
      <c r="P72" s="75"/>
      <c r="Q72" s="75"/>
      <c r="R72" s="79"/>
      <c r="S72" s="79"/>
      <c r="T72" s="79"/>
      <c r="U72" s="79"/>
      <c r="V72" s="80"/>
    </row>
    <row r="73" spans="1:22" ht="30" customHeight="1">
      <c r="A73" s="17">
        <v>71</v>
      </c>
      <c r="B73" s="44" t="s">
        <v>96</v>
      </c>
      <c r="C73" s="4" t="s">
        <v>85</v>
      </c>
      <c r="D73" s="5" t="s">
        <v>21</v>
      </c>
      <c r="E73" s="65" t="s">
        <v>22</v>
      </c>
      <c r="F73" s="34" t="s">
        <v>11</v>
      </c>
      <c r="G73" s="73"/>
      <c r="H73" s="75"/>
      <c r="I73" s="75"/>
      <c r="J73" s="75"/>
      <c r="K73" s="75"/>
      <c r="L73" s="75"/>
      <c r="M73" s="75"/>
      <c r="N73" s="75"/>
      <c r="O73" s="75"/>
      <c r="P73" s="75"/>
      <c r="Q73" s="75"/>
      <c r="R73" s="79"/>
      <c r="S73" s="79"/>
      <c r="T73" s="79"/>
      <c r="U73" s="79"/>
      <c r="V73" s="80"/>
    </row>
    <row r="74" spans="1:22" ht="30" customHeight="1">
      <c r="A74" s="17">
        <v>72</v>
      </c>
      <c r="B74" s="44" t="s">
        <v>97</v>
      </c>
      <c r="C74" s="4" t="s">
        <v>85</v>
      </c>
      <c r="D74" s="5" t="s">
        <v>21</v>
      </c>
      <c r="E74" s="65" t="s">
        <v>22</v>
      </c>
      <c r="F74" s="34" t="s">
        <v>11</v>
      </c>
      <c r="G74" s="73"/>
      <c r="H74" s="75"/>
      <c r="I74" s="75"/>
      <c r="J74" s="75"/>
      <c r="K74" s="75"/>
      <c r="L74" s="75"/>
      <c r="M74" s="75"/>
      <c r="N74" s="75"/>
      <c r="O74" s="75"/>
      <c r="P74" s="75"/>
      <c r="Q74" s="75"/>
      <c r="R74" s="79"/>
      <c r="S74" s="79"/>
      <c r="T74" s="79"/>
      <c r="U74" s="79"/>
      <c r="V74" s="80"/>
    </row>
    <row r="75" spans="1:22" ht="30" customHeight="1">
      <c r="A75" s="17">
        <v>73</v>
      </c>
      <c r="B75" s="44" t="s">
        <v>98</v>
      </c>
      <c r="C75" s="4" t="s">
        <v>85</v>
      </c>
      <c r="D75" s="5" t="s">
        <v>21</v>
      </c>
      <c r="E75" s="65" t="s">
        <v>22</v>
      </c>
      <c r="F75" s="34" t="s">
        <v>11</v>
      </c>
      <c r="G75" s="73"/>
      <c r="H75" s="75"/>
      <c r="I75" s="75"/>
      <c r="J75" s="75"/>
      <c r="K75" s="75"/>
      <c r="L75" s="75"/>
      <c r="M75" s="75"/>
      <c r="N75" s="75"/>
      <c r="O75" s="75"/>
      <c r="P75" s="75"/>
      <c r="Q75" s="75"/>
      <c r="R75" s="79"/>
      <c r="S75" s="79"/>
      <c r="T75" s="79"/>
      <c r="U75" s="79"/>
      <c r="V75" s="80"/>
    </row>
    <row r="76" spans="1:22" ht="30" customHeight="1">
      <c r="A76" s="17">
        <v>74</v>
      </c>
      <c r="B76" s="44" t="s">
        <v>99</v>
      </c>
      <c r="C76" s="4" t="s">
        <v>85</v>
      </c>
      <c r="D76" s="5" t="s">
        <v>21</v>
      </c>
      <c r="E76" s="65" t="s">
        <v>22</v>
      </c>
      <c r="F76" s="34" t="s">
        <v>11</v>
      </c>
      <c r="G76" s="73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9"/>
      <c r="S76" s="79"/>
      <c r="T76" s="79"/>
      <c r="U76" s="79"/>
      <c r="V76" s="80"/>
    </row>
    <row r="77" spans="1:22" ht="30" customHeight="1">
      <c r="A77" s="17">
        <v>75</v>
      </c>
      <c r="B77" s="44" t="s">
        <v>100</v>
      </c>
      <c r="C77" s="4" t="s">
        <v>85</v>
      </c>
      <c r="D77" s="5" t="s">
        <v>21</v>
      </c>
      <c r="E77" s="65" t="s">
        <v>22</v>
      </c>
      <c r="F77" s="34" t="s">
        <v>11</v>
      </c>
      <c r="G77" s="73"/>
      <c r="H77" s="75"/>
      <c r="I77" s="75"/>
      <c r="J77" s="75"/>
      <c r="K77" s="75"/>
      <c r="L77" s="75"/>
      <c r="M77" s="75"/>
      <c r="N77" s="75"/>
      <c r="O77" s="75"/>
      <c r="P77" s="75"/>
      <c r="Q77" s="75"/>
      <c r="R77" s="79"/>
      <c r="S77" s="79"/>
      <c r="T77" s="79"/>
      <c r="U77" s="79"/>
      <c r="V77" s="80"/>
    </row>
    <row r="78" spans="1:22" ht="30" customHeight="1">
      <c r="A78" s="17">
        <v>76</v>
      </c>
      <c r="B78" s="44" t="s">
        <v>101</v>
      </c>
      <c r="C78" s="4" t="s">
        <v>85</v>
      </c>
      <c r="D78" s="5" t="s">
        <v>21</v>
      </c>
      <c r="E78" s="65" t="s">
        <v>22</v>
      </c>
      <c r="F78" s="34" t="s">
        <v>11</v>
      </c>
      <c r="G78" s="73"/>
      <c r="H78" s="75"/>
      <c r="I78" s="75"/>
      <c r="J78" s="75"/>
      <c r="K78" s="75"/>
      <c r="L78" s="75"/>
      <c r="M78" s="75"/>
      <c r="N78" s="75"/>
      <c r="O78" s="75"/>
      <c r="P78" s="75"/>
      <c r="Q78" s="75"/>
      <c r="R78" s="79"/>
      <c r="S78" s="79"/>
      <c r="T78" s="79"/>
      <c r="U78" s="79"/>
      <c r="V78" s="80"/>
    </row>
    <row r="79" spans="1:22" ht="30" customHeight="1">
      <c r="A79" s="17">
        <v>77</v>
      </c>
      <c r="B79" s="44" t="s">
        <v>102</v>
      </c>
      <c r="C79" s="4" t="s">
        <v>85</v>
      </c>
      <c r="D79" s="5" t="s">
        <v>21</v>
      </c>
      <c r="E79" s="65" t="s">
        <v>22</v>
      </c>
      <c r="F79" s="34" t="s">
        <v>11</v>
      </c>
      <c r="G79" s="73"/>
      <c r="H79" s="75"/>
      <c r="I79" s="75"/>
      <c r="J79" s="75"/>
      <c r="K79" s="75"/>
      <c r="L79" s="75"/>
      <c r="M79" s="75"/>
      <c r="N79" s="75"/>
      <c r="O79" s="75"/>
      <c r="P79" s="75"/>
      <c r="Q79" s="75"/>
      <c r="R79" s="79"/>
      <c r="S79" s="79"/>
      <c r="T79" s="79"/>
      <c r="U79" s="79"/>
      <c r="V79" s="80"/>
    </row>
    <row r="80" spans="1:22" ht="30" customHeight="1">
      <c r="A80" s="17">
        <v>78</v>
      </c>
      <c r="B80" s="44" t="s">
        <v>100</v>
      </c>
      <c r="C80" s="4" t="s">
        <v>85</v>
      </c>
      <c r="D80" s="5" t="s">
        <v>21</v>
      </c>
      <c r="E80" s="65" t="s">
        <v>22</v>
      </c>
      <c r="F80" s="34" t="s">
        <v>11</v>
      </c>
      <c r="G80" s="73"/>
      <c r="H80" s="75"/>
      <c r="I80" s="75"/>
      <c r="J80" s="75"/>
      <c r="K80" s="75"/>
      <c r="L80" s="75"/>
      <c r="M80" s="75"/>
      <c r="N80" s="75"/>
      <c r="O80" s="75"/>
      <c r="P80" s="75"/>
      <c r="Q80" s="75"/>
      <c r="R80" s="79"/>
      <c r="S80" s="79"/>
      <c r="T80" s="79"/>
      <c r="U80" s="79"/>
      <c r="V80" s="80"/>
    </row>
    <row r="81" spans="1:22" ht="30" customHeight="1">
      <c r="A81" s="17">
        <v>79</v>
      </c>
      <c r="B81" s="44" t="s">
        <v>103</v>
      </c>
      <c r="C81" s="4" t="s">
        <v>85</v>
      </c>
      <c r="D81" s="5" t="s">
        <v>21</v>
      </c>
      <c r="E81" s="65" t="s">
        <v>104</v>
      </c>
      <c r="F81" s="34" t="s">
        <v>11</v>
      </c>
      <c r="G81" s="73"/>
      <c r="H81" s="75"/>
      <c r="I81" s="75"/>
      <c r="J81" s="75"/>
      <c r="K81" s="75"/>
      <c r="L81" s="75"/>
      <c r="M81" s="75"/>
      <c r="N81" s="75"/>
      <c r="O81" s="75"/>
      <c r="P81" s="75"/>
      <c r="Q81" s="75"/>
      <c r="R81" s="79"/>
      <c r="S81" s="79"/>
      <c r="T81" s="79"/>
      <c r="U81" s="79"/>
      <c r="V81" s="80"/>
    </row>
    <row r="82" spans="1:22" ht="30" customHeight="1">
      <c r="A82" s="17">
        <v>80</v>
      </c>
      <c r="B82" s="44" t="s">
        <v>105</v>
      </c>
      <c r="C82" s="4" t="s">
        <v>85</v>
      </c>
      <c r="D82" s="5" t="s">
        <v>21</v>
      </c>
      <c r="E82" s="65" t="s">
        <v>17</v>
      </c>
      <c r="F82" s="34" t="s">
        <v>11</v>
      </c>
      <c r="G82" s="73"/>
      <c r="H82" s="75"/>
      <c r="I82" s="75"/>
      <c r="J82" s="75"/>
      <c r="K82" s="75"/>
      <c r="L82" s="75"/>
      <c r="M82" s="75"/>
      <c r="N82" s="75"/>
      <c r="O82" s="75"/>
      <c r="P82" s="75"/>
      <c r="Q82" s="75"/>
      <c r="R82" s="79"/>
      <c r="S82" s="79"/>
      <c r="T82" s="79"/>
      <c r="U82" s="79"/>
      <c r="V82" s="80"/>
    </row>
    <row r="83" spans="1:22" ht="30" customHeight="1">
      <c r="A83" s="17">
        <v>81</v>
      </c>
      <c r="B83" s="44" t="s">
        <v>106</v>
      </c>
      <c r="C83" s="4" t="s">
        <v>85</v>
      </c>
      <c r="D83" s="5" t="s">
        <v>21</v>
      </c>
      <c r="E83" s="65" t="s">
        <v>22</v>
      </c>
      <c r="F83" s="34" t="s">
        <v>11</v>
      </c>
      <c r="G83" s="73"/>
      <c r="H83" s="75"/>
      <c r="I83" s="75"/>
      <c r="J83" s="75"/>
      <c r="K83" s="75"/>
      <c r="L83" s="75"/>
      <c r="M83" s="75"/>
      <c r="N83" s="75"/>
      <c r="O83" s="75"/>
      <c r="P83" s="75"/>
      <c r="Q83" s="75"/>
      <c r="R83" s="79"/>
      <c r="S83" s="79"/>
      <c r="T83" s="79"/>
      <c r="U83" s="79"/>
      <c r="V83" s="80"/>
    </row>
    <row r="84" spans="1:22" ht="30" customHeight="1">
      <c r="A84" s="17">
        <v>82</v>
      </c>
      <c r="B84" s="44" t="s">
        <v>107</v>
      </c>
      <c r="C84" s="4" t="s">
        <v>85</v>
      </c>
      <c r="D84" s="5" t="s">
        <v>21</v>
      </c>
      <c r="E84" s="65"/>
      <c r="F84" s="34" t="s">
        <v>11</v>
      </c>
      <c r="G84" s="73"/>
      <c r="H84" s="75"/>
      <c r="I84" s="75"/>
      <c r="J84" s="75"/>
      <c r="K84" s="75"/>
      <c r="L84" s="75"/>
      <c r="M84" s="75"/>
      <c r="N84" s="75"/>
      <c r="O84" s="75"/>
      <c r="P84" s="75"/>
      <c r="Q84" s="75"/>
      <c r="R84" s="79"/>
      <c r="S84" s="79"/>
      <c r="T84" s="79"/>
      <c r="U84" s="79"/>
      <c r="V84" s="80"/>
    </row>
    <row r="85" spans="1:22" ht="30" customHeight="1">
      <c r="A85" s="17">
        <v>83</v>
      </c>
      <c r="B85" s="44" t="s">
        <v>108</v>
      </c>
      <c r="C85" s="4" t="s">
        <v>85</v>
      </c>
      <c r="D85" s="5" t="s">
        <v>25</v>
      </c>
      <c r="E85" s="66" t="s">
        <v>30</v>
      </c>
      <c r="F85" s="34" t="s">
        <v>11</v>
      </c>
      <c r="G85" s="73"/>
      <c r="H85" s="75"/>
      <c r="I85" s="75"/>
      <c r="J85" s="75"/>
      <c r="K85" s="75"/>
      <c r="L85" s="75"/>
      <c r="M85" s="75"/>
      <c r="N85" s="75"/>
      <c r="O85" s="75"/>
      <c r="P85" s="75"/>
      <c r="Q85" s="75"/>
      <c r="R85" s="79"/>
      <c r="S85" s="79"/>
      <c r="T85" s="79"/>
      <c r="U85" s="79"/>
      <c r="V85" s="80"/>
    </row>
    <row r="86" spans="1:22" ht="30" customHeight="1">
      <c r="A86" s="17">
        <v>84</v>
      </c>
      <c r="B86" s="44" t="s">
        <v>109</v>
      </c>
      <c r="C86" s="4" t="s">
        <v>85</v>
      </c>
      <c r="D86" s="5" t="s">
        <v>25</v>
      </c>
      <c r="E86" s="66" t="s">
        <v>30</v>
      </c>
      <c r="F86" s="34" t="s">
        <v>11</v>
      </c>
      <c r="G86" s="73"/>
      <c r="H86" s="75"/>
      <c r="I86" s="75"/>
      <c r="J86" s="75"/>
      <c r="K86" s="75"/>
      <c r="L86" s="75"/>
      <c r="M86" s="75"/>
      <c r="N86" s="75"/>
      <c r="O86" s="75"/>
      <c r="P86" s="75"/>
      <c r="Q86" s="75"/>
      <c r="R86" s="79"/>
      <c r="S86" s="79"/>
      <c r="T86" s="79"/>
      <c r="U86" s="79"/>
      <c r="V86" s="80"/>
    </row>
    <row r="87" spans="1:22" ht="30" customHeight="1">
      <c r="A87" s="17">
        <v>85</v>
      </c>
      <c r="B87" s="44" t="s">
        <v>110</v>
      </c>
      <c r="C87" s="4" t="s">
        <v>85</v>
      </c>
      <c r="D87" s="5" t="s">
        <v>25</v>
      </c>
      <c r="E87" s="66" t="s">
        <v>30</v>
      </c>
      <c r="F87" s="34" t="s">
        <v>11</v>
      </c>
      <c r="G87" s="73"/>
      <c r="H87" s="75"/>
      <c r="I87" s="75"/>
      <c r="J87" s="75"/>
      <c r="K87" s="75"/>
      <c r="L87" s="75"/>
      <c r="M87" s="75"/>
      <c r="N87" s="75"/>
      <c r="O87" s="75"/>
      <c r="P87" s="75"/>
      <c r="Q87" s="75"/>
      <c r="R87" s="79"/>
      <c r="S87" s="79"/>
      <c r="T87" s="79"/>
      <c r="U87" s="79"/>
      <c r="V87" s="80"/>
    </row>
    <row r="88" spans="1:22" ht="30" customHeight="1">
      <c r="A88" s="17">
        <v>87</v>
      </c>
      <c r="B88" s="44" t="s">
        <v>111</v>
      </c>
      <c r="C88" s="4" t="s">
        <v>85</v>
      </c>
      <c r="D88" s="5" t="s">
        <v>25</v>
      </c>
      <c r="E88" s="66" t="s">
        <v>30</v>
      </c>
      <c r="F88" s="34" t="s">
        <v>11</v>
      </c>
      <c r="G88" s="73"/>
      <c r="H88" s="75"/>
      <c r="I88" s="75"/>
      <c r="J88" s="75"/>
      <c r="K88" s="75"/>
      <c r="L88" s="75"/>
      <c r="M88" s="75"/>
      <c r="N88" s="75"/>
      <c r="O88" s="75"/>
      <c r="P88" s="75"/>
      <c r="Q88" s="75"/>
      <c r="R88" s="79"/>
      <c r="S88" s="79"/>
      <c r="T88" s="79"/>
      <c r="U88" s="79"/>
      <c r="V88" s="80"/>
    </row>
    <row r="89" spans="1:22" ht="30" customHeight="1">
      <c r="A89" s="17">
        <v>88</v>
      </c>
      <c r="B89" s="44" t="s">
        <v>112</v>
      </c>
      <c r="C89" s="4" t="s">
        <v>85</v>
      </c>
      <c r="D89" s="5" t="s">
        <v>25</v>
      </c>
      <c r="E89" s="66" t="s">
        <v>30</v>
      </c>
      <c r="F89" s="34" t="s">
        <v>11</v>
      </c>
      <c r="G89" s="73"/>
      <c r="H89" s="75"/>
      <c r="I89" s="75"/>
      <c r="J89" s="75"/>
      <c r="K89" s="75"/>
      <c r="L89" s="75"/>
      <c r="M89" s="75"/>
      <c r="N89" s="75"/>
      <c r="O89" s="75"/>
      <c r="P89" s="75"/>
      <c r="Q89" s="75"/>
      <c r="R89" s="79"/>
      <c r="S89" s="79"/>
      <c r="T89" s="79"/>
      <c r="U89" s="79"/>
      <c r="V89" s="80"/>
    </row>
    <row r="90" spans="1:22" ht="30" customHeight="1">
      <c r="A90" s="17">
        <v>89</v>
      </c>
      <c r="B90" s="44" t="s">
        <v>113</v>
      </c>
      <c r="C90" s="4" t="s">
        <v>85</v>
      </c>
      <c r="D90" s="5" t="s">
        <v>25</v>
      </c>
      <c r="E90" s="66" t="s">
        <v>30</v>
      </c>
      <c r="F90" s="34" t="s">
        <v>11</v>
      </c>
      <c r="G90" s="73"/>
      <c r="H90" s="75"/>
      <c r="I90" s="75"/>
      <c r="J90" s="75"/>
      <c r="K90" s="75"/>
      <c r="L90" s="75"/>
      <c r="M90" s="75"/>
      <c r="N90" s="75"/>
      <c r="O90" s="75"/>
      <c r="P90" s="75"/>
      <c r="Q90" s="75"/>
      <c r="R90" s="79"/>
      <c r="S90" s="79"/>
      <c r="T90" s="79"/>
      <c r="U90" s="79"/>
      <c r="V90" s="80"/>
    </row>
    <row r="91" spans="1:22" ht="30" customHeight="1">
      <c r="A91" s="17">
        <v>90</v>
      </c>
      <c r="B91" s="44" t="s">
        <v>114</v>
      </c>
      <c r="C91" s="4" t="s">
        <v>85</v>
      </c>
      <c r="D91" s="5" t="s">
        <v>25</v>
      </c>
      <c r="E91" s="66" t="s">
        <v>30</v>
      </c>
      <c r="F91" s="34" t="s">
        <v>11</v>
      </c>
      <c r="G91" s="73"/>
      <c r="H91" s="75"/>
      <c r="I91" s="75"/>
      <c r="J91" s="75"/>
      <c r="K91" s="75"/>
      <c r="L91" s="75"/>
      <c r="M91" s="75"/>
      <c r="N91" s="75"/>
      <c r="O91" s="75"/>
      <c r="P91" s="75"/>
      <c r="Q91" s="75"/>
      <c r="R91" s="79"/>
      <c r="S91" s="79"/>
      <c r="T91" s="79"/>
      <c r="U91" s="79"/>
      <c r="V91" s="80"/>
    </row>
    <row r="92" spans="1:22" ht="30" customHeight="1">
      <c r="A92" s="17">
        <v>91</v>
      </c>
      <c r="B92" s="44" t="s">
        <v>115</v>
      </c>
      <c r="C92" s="4" t="s">
        <v>85</v>
      </c>
      <c r="D92" s="5" t="s">
        <v>25</v>
      </c>
      <c r="E92" s="66" t="s">
        <v>30</v>
      </c>
      <c r="F92" s="34" t="s">
        <v>11</v>
      </c>
      <c r="G92" s="73"/>
      <c r="H92" s="75"/>
      <c r="I92" s="75"/>
      <c r="J92" s="75"/>
      <c r="K92" s="75"/>
      <c r="L92" s="75"/>
      <c r="M92" s="75"/>
      <c r="N92" s="75"/>
      <c r="O92" s="75"/>
      <c r="P92" s="75"/>
      <c r="Q92" s="75"/>
      <c r="R92" s="79"/>
      <c r="S92" s="79"/>
      <c r="T92" s="79"/>
      <c r="U92" s="79"/>
      <c r="V92" s="80"/>
    </row>
    <row r="93" spans="1:22" ht="30" customHeight="1">
      <c r="A93" s="17">
        <v>92</v>
      </c>
      <c r="B93" s="44" t="s">
        <v>116</v>
      </c>
      <c r="C93" s="4" t="s">
        <v>85</v>
      </c>
      <c r="D93" s="5" t="s">
        <v>25</v>
      </c>
      <c r="E93" s="66" t="s">
        <v>30</v>
      </c>
      <c r="F93" s="34" t="s">
        <v>11</v>
      </c>
      <c r="G93" s="73"/>
      <c r="H93" s="75"/>
      <c r="I93" s="75"/>
      <c r="J93" s="75"/>
      <c r="K93" s="75"/>
      <c r="L93" s="75"/>
      <c r="M93" s="75"/>
      <c r="N93" s="75"/>
      <c r="O93" s="75"/>
      <c r="P93" s="75"/>
      <c r="Q93" s="75"/>
      <c r="R93" s="79"/>
      <c r="S93" s="79"/>
      <c r="T93" s="79"/>
      <c r="U93" s="79"/>
      <c r="V93" s="80"/>
    </row>
    <row r="94" spans="1:22" ht="30" customHeight="1">
      <c r="A94" s="17">
        <v>94</v>
      </c>
      <c r="B94" s="44" t="s">
        <v>117</v>
      </c>
      <c r="C94" s="4" t="s">
        <v>85</v>
      </c>
      <c r="D94" s="5" t="s">
        <v>25</v>
      </c>
      <c r="E94" s="66" t="s">
        <v>30</v>
      </c>
      <c r="F94" s="34" t="s">
        <v>11</v>
      </c>
      <c r="G94" s="73"/>
      <c r="H94" s="75"/>
      <c r="I94" s="75"/>
      <c r="J94" s="75"/>
      <c r="K94" s="75"/>
      <c r="L94" s="75"/>
      <c r="M94" s="75"/>
      <c r="N94" s="75"/>
      <c r="O94" s="75"/>
      <c r="P94" s="75"/>
      <c r="Q94" s="75"/>
      <c r="R94" s="79"/>
      <c r="S94" s="79"/>
      <c r="T94" s="79"/>
      <c r="U94" s="79"/>
      <c r="V94" s="80"/>
    </row>
    <row r="95" spans="1:22" ht="30" customHeight="1">
      <c r="A95" s="17">
        <v>95</v>
      </c>
      <c r="B95" s="50" t="s">
        <v>118</v>
      </c>
      <c r="C95" s="51" t="s">
        <v>119</v>
      </c>
      <c r="D95" s="52" t="s">
        <v>25</v>
      </c>
      <c r="E95" s="67" t="s">
        <v>30</v>
      </c>
      <c r="F95" s="54" t="s">
        <v>11</v>
      </c>
      <c r="G95" s="73"/>
      <c r="H95" s="75"/>
      <c r="I95" s="75"/>
      <c r="J95" s="75"/>
      <c r="K95" s="75"/>
      <c r="L95" s="75"/>
      <c r="M95" s="75"/>
      <c r="N95" s="75"/>
      <c r="O95" s="75"/>
      <c r="P95" s="75"/>
      <c r="Q95" s="75"/>
      <c r="R95" s="79"/>
      <c r="S95" s="79"/>
      <c r="T95" s="79"/>
      <c r="U95" s="79"/>
      <c r="V95" s="80"/>
    </row>
    <row r="96" spans="1:22" ht="30" customHeight="1">
      <c r="A96" s="17">
        <v>96</v>
      </c>
      <c r="B96" s="50" t="s">
        <v>120</v>
      </c>
      <c r="C96" s="51" t="s">
        <v>119</v>
      </c>
      <c r="D96" s="52" t="s">
        <v>25</v>
      </c>
      <c r="E96" s="67" t="s">
        <v>30</v>
      </c>
      <c r="F96" s="54" t="s">
        <v>11</v>
      </c>
      <c r="G96" s="73"/>
      <c r="H96" s="75"/>
      <c r="I96" s="75"/>
      <c r="J96" s="75"/>
      <c r="K96" s="75"/>
      <c r="L96" s="75"/>
      <c r="M96" s="75"/>
      <c r="N96" s="75"/>
      <c r="O96" s="75"/>
      <c r="P96" s="75"/>
      <c r="Q96" s="75"/>
      <c r="R96" s="79"/>
      <c r="S96" s="79"/>
      <c r="T96" s="79"/>
      <c r="U96" s="79"/>
      <c r="V96" s="80"/>
    </row>
    <row r="97" spans="1:22" ht="30" customHeight="1">
      <c r="A97" s="17">
        <v>97</v>
      </c>
      <c r="B97" s="50" t="s">
        <v>121</v>
      </c>
      <c r="C97" s="51" t="s">
        <v>119</v>
      </c>
      <c r="D97" s="52" t="s">
        <v>25</v>
      </c>
      <c r="E97" s="67" t="s">
        <v>30</v>
      </c>
      <c r="F97" s="54" t="s">
        <v>11</v>
      </c>
      <c r="G97" s="73"/>
      <c r="H97" s="75"/>
      <c r="I97" s="75"/>
      <c r="J97" s="75"/>
      <c r="K97" s="75"/>
      <c r="L97" s="75"/>
      <c r="M97" s="75"/>
      <c r="N97" s="75"/>
      <c r="O97" s="75"/>
      <c r="P97" s="75"/>
      <c r="Q97" s="75"/>
      <c r="R97" s="79"/>
      <c r="S97" s="79"/>
      <c r="T97" s="79"/>
      <c r="U97" s="79"/>
      <c r="V97" s="80"/>
    </row>
    <row r="98" spans="1:22" ht="30" customHeight="1">
      <c r="A98" s="17">
        <v>98</v>
      </c>
      <c r="B98" s="50" t="s">
        <v>122</v>
      </c>
      <c r="C98" s="51" t="s">
        <v>119</v>
      </c>
      <c r="D98" s="52" t="s">
        <v>25</v>
      </c>
      <c r="E98" s="67" t="s">
        <v>30</v>
      </c>
      <c r="F98" s="54" t="s">
        <v>11</v>
      </c>
      <c r="G98" s="73"/>
      <c r="H98" s="75"/>
      <c r="I98" s="75"/>
      <c r="J98" s="75"/>
      <c r="K98" s="75"/>
      <c r="L98" s="75"/>
      <c r="M98" s="75"/>
      <c r="N98" s="75"/>
      <c r="O98" s="75"/>
      <c r="P98" s="75"/>
      <c r="Q98" s="75"/>
      <c r="R98" s="79"/>
      <c r="S98" s="79"/>
      <c r="T98" s="79"/>
      <c r="U98" s="79"/>
      <c r="V98" s="80"/>
    </row>
    <row r="99" spans="1:22" ht="30" customHeight="1">
      <c r="A99" s="17">
        <v>99</v>
      </c>
      <c r="B99" s="50" t="s">
        <v>123</v>
      </c>
      <c r="C99" s="51" t="s">
        <v>119</v>
      </c>
      <c r="D99" s="52" t="s">
        <v>25</v>
      </c>
      <c r="E99" s="67" t="s">
        <v>30</v>
      </c>
      <c r="F99" s="54" t="s">
        <v>11</v>
      </c>
      <c r="G99" s="73"/>
      <c r="H99" s="75"/>
      <c r="I99" s="75"/>
      <c r="J99" s="75"/>
      <c r="K99" s="75"/>
      <c r="L99" s="75"/>
      <c r="M99" s="75"/>
      <c r="N99" s="75"/>
      <c r="O99" s="75"/>
      <c r="P99" s="75"/>
      <c r="Q99" s="75"/>
      <c r="R99" s="79"/>
      <c r="S99" s="79"/>
      <c r="T99" s="79"/>
      <c r="U99" s="79"/>
      <c r="V99" s="80"/>
    </row>
    <row r="100" spans="1:22" ht="30" customHeight="1">
      <c r="A100" s="17">
        <v>100</v>
      </c>
      <c r="B100" s="50" t="s">
        <v>124</v>
      </c>
      <c r="C100" s="51" t="s">
        <v>119</v>
      </c>
      <c r="D100" s="52" t="s">
        <v>25</v>
      </c>
      <c r="E100" s="67" t="s">
        <v>30</v>
      </c>
      <c r="F100" s="54" t="s">
        <v>11</v>
      </c>
      <c r="G100" s="73"/>
      <c r="H100" s="75"/>
      <c r="I100" s="75"/>
      <c r="J100" s="75"/>
      <c r="K100" s="75"/>
      <c r="L100" s="75"/>
      <c r="M100" s="75"/>
      <c r="N100" s="75"/>
      <c r="O100" s="75"/>
      <c r="P100" s="75"/>
      <c r="Q100" s="75"/>
      <c r="R100" s="79"/>
      <c r="S100" s="79"/>
      <c r="T100" s="79"/>
      <c r="U100" s="79"/>
      <c r="V100" s="80"/>
    </row>
    <row r="101" spans="1:22" ht="30" customHeight="1">
      <c r="A101" s="17">
        <v>101</v>
      </c>
      <c r="B101" s="50" t="s">
        <v>125</v>
      </c>
      <c r="C101" s="51" t="s">
        <v>119</v>
      </c>
      <c r="D101" s="52" t="s">
        <v>25</v>
      </c>
      <c r="E101" s="67" t="s">
        <v>30</v>
      </c>
      <c r="F101" s="54" t="s">
        <v>11</v>
      </c>
      <c r="G101" s="73"/>
      <c r="H101" s="75"/>
      <c r="I101" s="75"/>
      <c r="J101" s="75"/>
      <c r="K101" s="75"/>
      <c r="L101" s="75"/>
      <c r="M101" s="75"/>
      <c r="N101" s="75"/>
      <c r="O101" s="75"/>
      <c r="P101" s="75"/>
      <c r="Q101" s="75"/>
      <c r="R101" s="79"/>
      <c r="S101" s="79"/>
      <c r="T101" s="79"/>
      <c r="U101" s="79"/>
      <c r="V101" s="80"/>
    </row>
    <row r="102" spans="1:22" ht="30" customHeight="1">
      <c r="A102" s="17">
        <v>102</v>
      </c>
      <c r="B102" s="50" t="s">
        <v>126</v>
      </c>
      <c r="C102" s="51" t="s">
        <v>119</v>
      </c>
      <c r="D102" s="52" t="s">
        <v>25</v>
      </c>
      <c r="E102" s="67" t="s">
        <v>30</v>
      </c>
      <c r="F102" s="54" t="s">
        <v>11</v>
      </c>
      <c r="G102" s="73"/>
      <c r="H102" s="75"/>
      <c r="I102" s="75"/>
      <c r="J102" s="75"/>
      <c r="K102" s="75"/>
      <c r="L102" s="75"/>
      <c r="M102" s="75"/>
      <c r="N102" s="75"/>
      <c r="O102" s="75"/>
      <c r="P102" s="75"/>
      <c r="Q102" s="75"/>
      <c r="R102" s="79"/>
      <c r="S102" s="79"/>
      <c r="T102" s="79"/>
      <c r="U102" s="79"/>
      <c r="V102" s="80"/>
    </row>
    <row r="103" spans="1:22" ht="30" customHeight="1">
      <c r="A103" s="17">
        <v>103</v>
      </c>
      <c r="B103" s="50" t="s">
        <v>127</v>
      </c>
      <c r="C103" s="51" t="s">
        <v>119</v>
      </c>
      <c r="D103" s="52" t="s">
        <v>25</v>
      </c>
      <c r="E103" s="67" t="s">
        <v>30</v>
      </c>
      <c r="F103" s="54" t="s">
        <v>11</v>
      </c>
      <c r="G103" s="73"/>
      <c r="H103" s="75"/>
      <c r="I103" s="75"/>
      <c r="J103" s="75"/>
      <c r="K103" s="75"/>
      <c r="L103" s="75"/>
      <c r="M103" s="75"/>
      <c r="N103" s="75"/>
      <c r="O103" s="75"/>
      <c r="P103" s="75"/>
      <c r="Q103" s="75"/>
      <c r="R103" s="79"/>
      <c r="S103" s="79"/>
      <c r="T103" s="79"/>
      <c r="U103" s="79"/>
      <c r="V103" s="80"/>
    </row>
    <row r="104" spans="1:22" ht="30" customHeight="1">
      <c r="A104" s="17">
        <v>104</v>
      </c>
      <c r="B104" s="50" t="s">
        <v>128</v>
      </c>
      <c r="C104" s="51" t="s">
        <v>119</v>
      </c>
      <c r="D104" s="52" t="s">
        <v>25</v>
      </c>
      <c r="E104" s="67" t="s">
        <v>30</v>
      </c>
      <c r="F104" s="54" t="s">
        <v>11</v>
      </c>
      <c r="G104" s="73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9"/>
      <c r="S104" s="79"/>
      <c r="T104" s="79"/>
      <c r="U104" s="79"/>
      <c r="V104" s="80"/>
    </row>
    <row r="105" spans="1:22" ht="30" customHeight="1">
      <c r="A105" s="17">
        <v>105</v>
      </c>
      <c r="B105" s="50" t="s">
        <v>129</v>
      </c>
      <c r="C105" s="51" t="s">
        <v>119</v>
      </c>
      <c r="D105" s="52" t="s">
        <v>25</v>
      </c>
      <c r="E105" s="67" t="s">
        <v>30</v>
      </c>
      <c r="F105" s="54" t="s">
        <v>11</v>
      </c>
      <c r="G105" s="73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9"/>
      <c r="S105" s="79"/>
      <c r="T105" s="79"/>
      <c r="U105" s="79"/>
      <c r="V105" s="80"/>
    </row>
    <row r="106" spans="1:22" ht="30" customHeight="1">
      <c r="A106" s="17">
        <v>106</v>
      </c>
      <c r="B106" s="50" t="s">
        <v>130</v>
      </c>
      <c r="C106" s="51" t="s">
        <v>119</v>
      </c>
      <c r="D106" s="52" t="s">
        <v>25</v>
      </c>
      <c r="E106" s="67" t="s">
        <v>30</v>
      </c>
      <c r="F106" s="54" t="s">
        <v>11</v>
      </c>
      <c r="G106" s="73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9"/>
      <c r="S106" s="79"/>
      <c r="T106" s="79"/>
      <c r="U106" s="79"/>
      <c r="V106" s="80"/>
    </row>
    <row r="107" spans="1:22" ht="30" customHeight="1">
      <c r="A107" s="17">
        <v>107</v>
      </c>
      <c r="B107" s="50" t="s">
        <v>131</v>
      </c>
      <c r="C107" s="51" t="s">
        <v>119</v>
      </c>
      <c r="D107" s="52" t="s">
        <v>25</v>
      </c>
      <c r="E107" s="67" t="s">
        <v>30</v>
      </c>
      <c r="F107" s="54" t="s">
        <v>11</v>
      </c>
      <c r="G107" s="73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9"/>
      <c r="S107" s="79"/>
      <c r="T107" s="79"/>
      <c r="U107" s="79"/>
      <c r="V107" s="80"/>
    </row>
    <row r="108" spans="1:22" ht="30" customHeight="1">
      <c r="A108" s="17">
        <v>109</v>
      </c>
      <c r="B108" s="50" t="s">
        <v>132</v>
      </c>
      <c r="C108" s="51" t="s">
        <v>119</v>
      </c>
      <c r="D108" s="52" t="s">
        <v>25</v>
      </c>
      <c r="E108" s="67" t="s">
        <v>14</v>
      </c>
      <c r="F108" s="54" t="s">
        <v>11</v>
      </c>
      <c r="G108" s="73"/>
      <c r="H108" s="75"/>
      <c r="I108" s="75"/>
      <c r="J108" s="75"/>
      <c r="K108" s="75"/>
      <c r="L108" s="75"/>
      <c r="M108" s="75"/>
      <c r="N108" s="75"/>
      <c r="O108" s="75"/>
      <c r="P108" s="75"/>
      <c r="Q108" s="75"/>
      <c r="R108" s="79"/>
      <c r="S108" s="79"/>
      <c r="T108" s="79"/>
      <c r="U108" s="79"/>
      <c r="V108" s="80"/>
    </row>
    <row r="109" spans="1:22" ht="30" customHeight="1">
      <c r="A109" s="17">
        <v>110</v>
      </c>
      <c r="B109" s="50" t="s">
        <v>133</v>
      </c>
      <c r="C109" s="51" t="s">
        <v>119</v>
      </c>
      <c r="D109" s="52" t="s">
        <v>25</v>
      </c>
      <c r="E109" s="67" t="s">
        <v>14</v>
      </c>
      <c r="F109" s="54" t="s">
        <v>11</v>
      </c>
      <c r="G109" s="73"/>
      <c r="H109" s="75"/>
      <c r="I109" s="75"/>
      <c r="J109" s="75"/>
      <c r="K109" s="75"/>
      <c r="L109" s="75"/>
      <c r="M109" s="75"/>
      <c r="N109" s="75"/>
      <c r="O109" s="75"/>
      <c r="P109" s="75"/>
      <c r="Q109" s="75"/>
      <c r="R109" s="79"/>
      <c r="S109" s="79"/>
      <c r="T109" s="79"/>
      <c r="U109" s="79"/>
      <c r="V109" s="80"/>
    </row>
    <row r="110" spans="1:22" ht="30" customHeight="1">
      <c r="A110" s="17">
        <v>111</v>
      </c>
      <c r="B110" s="50" t="s">
        <v>134</v>
      </c>
      <c r="C110" s="51" t="s">
        <v>119</v>
      </c>
      <c r="D110" s="52" t="s">
        <v>25</v>
      </c>
      <c r="E110" s="67" t="s">
        <v>14</v>
      </c>
      <c r="F110" s="54" t="s">
        <v>11</v>
      </c>
      <c r="G110" s="73"/>
      <c r="H110" s="75"/>
      <c r="I110" s="75"/>
      <c r="J110" s="75"/>
      <c r="K110" s="75"/>
      <c r="L110" s="75"/>
      <c r="M110" s="75"/>
      <c r="N110" s="75"/>
      <c r="O110" s="75"/>
      <c r="P110" s="75"/>
      <c r="Q110" s="75"/>
      <c r="R110" s="79"/>
      <c r="S110" s="79"/>
      <c r="T110" s="79"/>
      <c r="U110" s="79"/>
      <c r="V110" s="80"/>
    </row>
    <row r="111" spans="1:22" ht="30" customHeight="1">
      <c r="A111" s="17">
        <v>112</v>
      </c>
      <c r="B111" s="50" t="s">
        <v>135</v>
      </c>
      <c r="C111" s="51" t="s">
        <v>119</v>
      </c>
      <c r="D111" s="52" t="s">
        <v>25</v>
      </c>
      <c r="E111" s="67" t="s">
        <v>14</v>
      </c>
      <c r="F111" s="54" t="s">
        <v>11</v>
      </c>
      <c r="G111" s="73"/>
      <c r="H111" s="75"/>
      <c r="I111" s="75"/>
      <c r="J111" s="75"/>
      <c r="K111" s="75"/>
      <c r="L111" s="75"/>
      <c r="M111" s="75"/>
      <c r="N111" s="75"/>
      <c r="O111" s="75"/>
      <c r="P111" s="75"/>
      <c r="Q111" s="75"/>
      <c r="R111" s="79"/>
      <c r="S111" s="79"/>
      <c r="T111" s="79"/>
      <c r="U111" s="79"/>
      <c r="V111" s="80"/>
    </row>
    <row r="112" spans="1:22" ht="30" customHeight="1">
      <c r="A112" s="17">
        <v>113</v>
      </c>
      <c r="B112" s="50" t="s">
        <v>136</v>
      </c>
      <c r="C112" s="51" t="s">
        <v>119</v>
      </c>
      <c r="D112" s="52" t="s">
        <v>25</v>
      </c>
      <c r="E112" s="67" t="s">
        <v>14</v>
      </c>
      <c r="F112" s="54" t="s">
        <v>11</v>
      </c>
      <c r="G112" s="73"/>
      <c r="H112" s="75"/>
      <c r="I112" s="75"/>
      <c r="J112" s="75"/>
      <c r="K112" s="75"/>
      <c r="L112" s="75"/>
      <c r="M112" s="75"/>
      <c r="N112" s="75"/>
      <c r="O112" s="75"/>
      <c r="P112" s="75"/>
      <c r="Q112" s="75"/>
      <c r="R112" s="79"/>
      <c r="S112" s="79"/>
      <c r="T112" s="79"/>
      <c r="U112" s="79"/>
      <c r="V112" s="80"/>
    </row>
    <row r="113" spans="1:22" ht="30" customHeight="1">
      <c r="A113" s="17">
        <v>114</v>
      </c>
      <c r="B113" s="50" t="s">
        <v>137</v>
      </c>
      <c r="C113" s="51" t="s">
        <v>119</v>
      </c>
      <c r="D113" s="52" t="s">
        <v>25</v>
      </c>
      <c r="E113" s="67" t="s">
        <v>14</v>
      </c>
      <c r="F113" s="54" t="s">
        <v>11</v>
      </c>
      <c r="G113" s="73"/>
      <c r="H113" s="75"/>
      <c r="I113" s="75"/>
      <c r="J113" s="75"/>
      <c r="K113" s="75"/>
      <c r="L113" s="75"/>
      <c r="M113" s="75"/>
      <c r="N113" s="75"/>
      <c r="O113" s="75"/>
      <c r="P113" s="75"/>
      <c r="Q113" s="75"/>
      <c r="R113" s="79"/>
      <c r="S113" s="79"/>
      <c r="T113" s="79"/>
      <c r="U113" s="79"/>
      <c r="V113" s="80"/>
    </row>
    <row r="114" spans="1:22" ht="30" customHeight="1">
      <c r="A114" s="17">
        <v>115</v>
      </c>
      <c r="B114" s="50" t="s">
        <v>138</v>
      </c>
      <c r="C114" s="51" t="s">
        <v>119</v>
      </c>
      <c r="D114" s="52" t="s">
        <v>25</v>
      </c>
      <c r="E114" s="67" t="s">
        <v>14</v>
      </c>
      <c r="F114" s="54" t="s">
        <v>11</v>
      </c>
      <c r="G114" s="73"/>
      <c r="H114" s="75"/>
      <c r="I114" s="75"/>
      <c r="J114" s="75"/>
      <c r="K114" s="75"/>
      <c r="L114" s="75"/>
      <c r="M114" s="75"/>
      <c r="N114" s="75"/>
      <c r="O114" s="75"/>
      <c r="P114" s="75"/>
      <c r="Q114" s="75"/>
      <c r="R114" s="79"/>
      <c r="S114" s="79"/>
      <c r="T114" s="79"/>
      <c r="U114" s="79"/>
      <c r="V114" s="80"/>
    </row>
    <row r="115" spans="1:22" ht="30" customHeight="1">
      <c r="A115" s="17">
        <v>116</v>
      </c>
      <c r="B115" s="50" t="s">
        <v>139</v>
      </c>
      <c r="C115" s="51" t="s">
        <v>119</v>
      </c>
      <c r="D115" s="52" t="s">
        <v>25</v>
      </c>
      <c r="E115" s="67" t="s">
        <v>14</v>
      </c>
      <c r="F115" s="54" t="s">
        <v>11</v>
      </c>
      <c r="G115" s="73"/>
      <c r="H115" s="75"/>
      <c r="I115" s="75"/>
      <c r="J115" s="75"/>
      <c r="K115" s="75"/>
      <c r="L115" s="75"/>
      <c r="M115" s="75"/>
      <c r="N115" s="75"/>
      <c r="O115" s="75"/>
      <c r="P115" s="75"/>
      <c r="Q115" s="75"/>
      <c r="R115" s="79"/>
      <c r="S115" s="79"/>
      <c r="T115" s="79"/>
      <c r="U115" s="79"/>
      <c r="V115" s="80"/>
    </row>
    <row r="116" spans="1:22" ht="30" customHeight="1">
      <c r="A116" s="17">
        <v>117</v>
      </c>
      <c r="B116" s="50" t="s">
        <v>140</v>
      </c>
      <c r="C116" s="51" t="s">
        <v>119</v>
      </c>
      <c r="D116" s="52" t="s">
        <v>25</v>
      </c>
      <c r="E116" s="67" t="s">
        <v>14</v>
      </c>
      <c r="F116" s="54" t="s">
        <v>11</v>
      </c>
      <c r="G116" s="73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9"/>
      <c r="S116" s="79"/>
      <c r="T116" s="79"/>
      <c r="U116" s="79"/>
      <c r="V116" s="80"/>
    </row>
    <row r="117" spans="1:22" ht="30" customHeight="1">
      <c r="A117" s="17">
        <v>118</v>
      </c>
      <c r="B117" s="50" t="s">
        <v>141</v>
      </c>
      <c r="C117" s="51" t="s">
        <v>119</v>
      </c>
      <c r="D117" s="52" t="s">
        <v>25</v>
      </c>
      <c r="E117" s="67" t="s">
        <v>14</v>
      </c>
      <c r="F117" s="54" t="s">
        <v>11</v>
      </c>
      <c r="G117" s="73"/>
      <c r="H117" s="75"/>
      <c r="I117" s="75"/>
      <c r="J117" s="75"/>
      <c r="K117" s="75"/>
      <c r="L117" s="75"/>
      <c r="M117" s="75"/>
      <c r="N117" s="75"/>
      <c r="O117" s="75"/>
      <c r="P117" s="75"/>
      <c r="Q117" s="75"/>
      <c r="R117" s="79"/>
      <c r="S117" s="79"/>
      <c r="T117" s="79"/>
      <c r="U117" s="79"/>
      <c r="V117" s="80"/>
    </row>
    <row r="118" spans="1:22" ht="30" customHeight="1">
      <c r="A118" s="17">
        <v>119</v>
      </c>
      <c r="B118" s="50" t="s">
        <v>142</v>
      </c>
      <c r="C118" s="51" t="s">
        <v>119</v>
      </c>
      <c r="D118" s="52" t="s">
        <v>25</v>
      </c>
      <c r="E118" s="67" t="s">
        <v>17</v>
      </c>
      <c r="F118" s="54" t="s">
        <v>11</v>
      </c>
      <c r="G118" s="73"/>
      <c r="H118" s="75"/>
      <c r="I118" s="75"/>
      <c r="J118" s="75"/>
      <c r="K118" s="75"/>
      <c r="L118" s="75"/>
      <c r="M118" s="75"/>
      <c r="N118" s="75"/>
      <c r="O118" s="75"/>
      <c r="P118" s="75"/>
      <c r="Q118" s="75"/>
      <c r="R118" s="79"/>
      <c r="S118" s="79"/>
      <c r="T118" s="79"/>
      <c r="U118" s="79"/>
      <c r="V118" s="80"/>
    </row>
    <row r="119" spans="1:22" ht="30" customHeight="1">
      <c r="A119" s="17">
        <v>120</v>
      </c>
      <c r="B119" s="50" t="s">
        <v>143</v>
      </c>
      <c r="C119" s="51" t="s">
        <v>119</v>
      </c>
      <c r="D119" s="52" t="s">
        <v>25</v>
      </c>
      <c r="E119" s="67" t="s">
        <v>144</v>
      </c>
      <c r="F119" s="54" t="s">
        <v>11</v>
      </c>
      <c r="G119" s="73"/>
      <c r="H119" s="75"/>
      <c r="I119" s="75"/>
      <c r="J119" s="75"/>
      <c r="K119" s="75"/>
      <c r="L119" s="75"/>
      <c r="M119" s="75"/>
      <c r="N119" s="75"/>
      <c r="O119" s="75"/>
      <c r="P119" s="75"/>
      <c r="Q119" s="75"/>
      <c r="R119" s="79"/>
      <c r="S119" s="79"/>
      <c r="T119" s="79"/>
      <c r="U119" s="79"/>
      <c r="V119" s="80"/>
    </row>
    <row r="120" spans="1:22" ht="30" customHeight="1">
      <c r="A120" s="17">
        <v>121</v>
      </c>
      <c r="B120" s="50" t="s">
        <v>145</v>
      </c>
      <c r="C120" s="51" t="s">
        <v>119</v>
      </c>
      <c r="D120" s="52" t="s">
        <v>25</v>
      </c>
      <c r="E120" s="67" t="s">
        <v>144</v>
      </c>
      <c r="F120" s="54" t="s">
        <v>11</v>
      </c>
      <c r="G120" s="73"/>
      <c r="H120" s="75"/>
      <c r="I120" s="75"/>
      <c r="J120" s="75"/>
      <c r="K120" s="75"/>
      <c r="L120" s="75"/>
      <c r="M120" s="75"/>
      <c r="N120" s="75"/>
      <c r="O120" s="75"/>
      <c r="P120" s="75"/>
      <c r="Q120" s="75"/>
      <c r="R120" s="79"/>
      <c r="S120" s="79"/>
      <c r="T120" s="79"/>
      <c r="U120" s="79"/>
      <c r="V120" s="80"/>
    </row>
    <row r="121" spans="1:22" ht="30" customHeight="1">
      <c r="A121" s="17">
        <v>122</v>
      </c>
      <c r="B121" s="50" t="s">
        <v>146</v>
      </c>
      <c r="C121" s="51" t="s">
        <v>119</v>
      </c>
      <c r="D121" s="52" t="s">
        <v>25</v>
      </c>
      <c r="E121" s="67" t="s">
        <v>144</v>
      </c>
      <c r="F121" s="54" t="s">
        <v>11</v>
      </c>
      <c r="G121" s="73"/>
      <c r="H121" s="75"/>
      <c r="I121" s="75"/>
      <c r="J121" s="75"/>
      <c r="K121" s="75"/>
      <c r="L121" s="75"/>
      <c r="M121" s="75"/>
      <c r="N121" s="75"/>
      <c r="O121" s="75"/>
      <c r="P121" s="75"/>
      <c r="Q121" s="75"/>
      <c r="R121" s="79"/>
      <c r="S121" s="79"/>
      <c r="T121" s="79"/>
      <c r="U121" s="79"/>
      <c r="V121" s="80"/>
    </row>
    <row r="122" spans="1:22" ht="30" customHeight="1">
      <c r="A122" s="17">
        <v>123</v>
      </c>
      <c r="B122" s="53" t="s">
        <v>147</v>
      </c>
      <c r="C122" s="51" t="s">
        <v>119</v>
      </c>
      <c r="D122" s="52" t="s">
        <v>25</v>
      </c>
      <c r="E122" s="67" t="s">
        <v>144</v>
      </c>
      <c r="F122" s="54" t="s">
        <v>11</v>
      </c>
      <c r="G122" s="73"/>
      <c r="H122" s="75"/>
      <c r="I122" s="75"/>
      <c r="J122" s="75"/>
      <c r="K122" s="75"/>
      <c r="L122" s="75"/>
      <c r="M122" s="75"/>
      <c r="N122" s="75"/>
      <c r="O122" s="75"/>
      <c r="P122" s="75"/>
      <c r="Q122" s="75"/>
      <c r="R122" s="79"/>
      <c r="S122" s="79"/>
      <c r="T122" s="79"/>
      <c r="U122" s="79"/>
      <c r="V122" s="80"/>
    </row>
    <row r="123" spans="1:22" ht="30" customHeight="1">
      <c r="A123" s="17">
        <v>124</v>
      </c>
      <c r="B123" s="50" t="s">
        <v>148</v>
      </c>
      <c r="C123" s="51" t="s">
        <v>119</v>
      </c>
      <c r="D123" s="52" t="s">
        <v>25</v>
      </c>
      <c r="E123" s="67" t="s">
        <v>144</v>
      </c>
      <c r="F123" s="54" t="s">
        <v>11</v>
      </c>
      <c r="G123" s="73"/>
      <c r="H123" s="75"/>
      <c r="I123" s="75"/>
      <c r="J123" s="75"/>
      <c r="K123" s="75"/>
      <c r="L123" s="75"/>
      <c r="M123" s="75"/>
      <c r="N123" s="75"/>
      <c r="O123" s="75"/>
      <c r="P123" s="75"/>
      <c r="Q123" s="75"/>
      <c r="R123" s="79"/>
      <c r="S123" s="79"/>
      <c r="T123" s="79"/>
      <c r="U123" s="79"/>
      <c r="V123" s="80"/>
    </row>
    <row r="124" spans="1:22" ht="30" customHeight="1">
      <c r="A124" s="17">
        <v>125</v>
      </c>
      <c r="B124" s="50" t="s">
        <v>149</v>
      </c>
      <c r="C124" s="51" t="s">
        <v>119</v>
      </c>
      <c r="D124" s="52" t="s">
        <v>25</v>
      </c>
      <c r="E124" s="67" t="s">
        <v>144</v>
      </c>
      <c r="F124" s="54" t="s">
        <v>11</v>
      </c>
      <c r="G124" s="73"/>
      <c r="H124" s="75"/>
      <c r="I124" s="75"/>
      <c r="J124" s="75"/>
      <c r="K124" s="75"/>
      <c r="L124" s="75"/>
      <c r="M124" s="75"/>
      <c r="N124" s="75"/>
      <c r="O124" s="75"/>
      <c r="P124" s="75"/>
      <c r="Q124" s="75"/>
      <c r="R124" s="79"/>
      <c r="S124" s="79"/>
      <c r="T124" s="79"/>
      <c r="U124" s="79"/>
      <c r="V124" s="80"/>
    </row>
    <row r="125" spans="1:22" ht="30" customHeight="1">
      <c r="A125" s="17">
        <v>126</v>
      </c>
      <c r="B125" s="50" t="s">
        <v>150</v>
      </c>
      <c r="C125" s="51" t="s">
        <v>119</v>
      </c>
      <c r="D125" s="52" t="s">
        <v>25</v>
      </c>
      <c r="E125" s="67" t="s">
        <v>144</v>
      </c>
      <c r="F125" s="54" t="s">
        <v>11</v>
      </c>
      <c r="G125" s="73"/>
      <c r="H125" s="75"/>
      <c r="I125" s="75"/>
      <c r="J125" s="75"/>
      <c r="K125" s="75"/>
      <c r="L125" s="75"/>
      <c r="M125" s="75"/>
      <c r="N125" s="75"/>
      <c r="O125" s="75"/>
      <c r="P125" s="75"/>
      <c r="Q125" s="75"/>
      <c r="R125" s="79"/>
      <c r="S125" s="79"/>
      <c r="T125" s="79"/>
      <c r="U125" s="79"/>
      <c r="V125" s="80"/>
    </row>
    <row r="126" spans="1:22" ht="30" customHeight="1">
      <c r="A126" s="17">
        <v>127</v>
      </c>
      <c r="B126" s="50" t="s">
        <v>151</v>
      </c>
      <c r="C126" s="51" t="s">
        <v>119</v>
      </c>
      <c r="D126" s="52" t="s">
        <v>25</v>
      </c>
      <c r="E126" s="67" t="s">
        <v>144</v>
      </c>
      <c r="F126" s="54" t="s">
        <v>11</v>
      </c>
      <c r="G126" s="73"/>
      <c r="H126" s="75"/>
      <c r="I126" s="75"/>
      <c r="J126" s="75"/>
      <c r="K126" s="75"/>
      <c r="L126" s="75"/>
      <c r="M126" s="75"/>
      <c r="N126" s="75"/>
      <c r="O126" s="75"/>
      <c r="P126" s="75"/>
      <c r="Q126" s="75"/>
      <c r="R126" s="79"/>
      <c r="S126" s="79"/>
      <c r="T126" s="79"/>
      <c r="U126" s="79"/>
      <c r="V126" s="80"/>
    </row>
    <row r="127" spans="1:22" ht="30" customHeight="1">
      <c r="A127" s="17">
        <v>128</v>
      </c>
      <c r="B127" s="50" t="s">
        <v>152</v>
      </c>
      <c r="C127" s="51" t="s">
        <v>119</v>
      </c>
      <c r="D127" s="52" t="s">
        <v>25</v>
      </c>
      <c r="E127" s="67" t="s">
        <v>144</v>
      </c>
      <c r="F127" s="54" t="s">
        <v>11</v>
      </c>
      <c r="G127" s="73"/>
      <c r="H127" s="75"/>
      <c r="I127" s="75"/>
      <c r="J127" s="75"/>
      <c r="K127" s="75"/>
      <c r="L127" s="75"/>
      <c r="M127" s="75"/>
      <c r="N127" s="75"/>
      <c r="O127" s="75"/>
      <c r="P127" s="75"/>
      <c r="Q127" s="75"/>
      <c r="R127" s="79"/>
      <c r="S127" s="79"/>
      <c r="T127" s="79"/>
      <c r="U127" s="79"/>
      <c r="V127" s="80"/>
    </row>
    <row r="128" spans="1:22" ht="30" customHeight="1">
      <c r="A128" s="17">
        <v>129</v>
      </c>
      <c r="B128" s="55" t="s">
        <v>153</v>
      </c>
      <c r="C128" s="4" t="s">
        <v>8</v>
      </c>
      <c r="D128" s="5" t="s">
        <v>9</v>
      </c>
      <c r="E128" s="65" t="s">
        <v>17</v>
      </c>
      <c r="F128" s="34" t="s">
        <v>11</v>
      </c>
      <c r="G128" s="73"/>
      <c r="H128" s="75"/>
      <c r="I128" s="75"/>
      <c r="J128" s="75"/>
      <c r="K128" s="75"/>
      <c r="L128" s="75"/>
      <c r="M128" s="75"/>
      <c r="N128" s="75"/>
      <c r="O128" s="75"/>
      <c r="P128" s="75"/>
      <c r="Q128" s="75"/>
      <c r="R128" s="79"/>
      <c r="S128" s="79"/>
      <c r="T128" s="79"/>
      <c r="U128" s="79"/>
      <c r="V128" s="80"/>
    </row>
    <row r="129" spans="1:22" ht="30" customHeight="1">
      <c r="A129" s="17">
        <v>130</v>
      </c>
      <c r="B129" s="44" t="s">
        <v>154</v>
      </c>
      <c r="C129" s="4" t="s">
        <v>8</v>
      </c>
      <c r="D129" s="5" t="s">
        <v>9</v>
      </c>
      <c r="E129" s="65" t="s">
        <v>17</v>
      </c>
      <c r="F129" s="34" t="s">
        <v>11</v>
      </c>
      <c r="G129" s="73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9"/>
      <c r="S129" s="79"/>
      <c r="T129" s="79"/>
      <c r="U129" s="79"/>
      <c r="V129" s="80"/>
    </row>
    <row r="130" spans="1:22" ht="30" customHeight="1">
      <c r="A130" s="17">
        <v>131</v>
      </c>
      <c r="B130" s="55" t="s">
        <v>155</v>
      </c>
      <c r="C130" s="4" t="s">
        <v>8</v>
      </c>
      <c r="D130" s="5" t="s">
        <v>9</v>
      </c>
      <c r="E130" s="65" t="s">
        <v>14</v>
      </c>
      <c r="F130" s="34" t="s">
        <v>11</v>
      </c>
      <c r="G130" s="73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9"/>
      <c r="S130" s="79"/>
      <c r="T130" s="79"/>
      <c r="U130" s="79"/>
      <c r="V130" s="80"/>
    </row>
    <row r="131" spans="1:22" ht="30" customHeight="1">
      <c r="A131" s="17">
        <v>132</v>
      </c>
      <c r="B131" s="44" t="s">
        <v>154</v>
      </c>
      <c r="C131" s="4" t="s">
        <v>8</v>
      </c>
      <c r="D131" s="5" t="s">
        <v>9</v>
      </c>
      <c r="E131" s="65" t="s">
        <v>17</v>
      </c>
      <c r="F131" s="34" t="s">
        <v>11</v>
      </c>
      <c r="G131" s="73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9"/>
      <c r="S131" s="79"/>
      <c r="T131" s="79"/>
      <c r="U131" s="79"/>
      <c r="V131" s="80"/>
    </row>
    <row r="132" spans="1:22" ht="30" customHeight="1">
      <c r="A132" s="17">
        <v>133</v>
      </c>
      <c r="B132" s="44" t="s">
        <v>156</v>
      </c>
      <c r="C132" s="4" t="s">
        <v>157</v>
      </c>
      <c r="D132" s="5" t="s">
        <v>21</v>
      </c>
      <c r="E132" s="65" t="s">
        <v>22</v>
      </c>
      <c r="F132" s="34" t="s">
        <v>11</v>
      </c>
      <c r="G132" s="73"/>
      <c r="H132" s="75"/>
      <c r="I132" s="75"/>
      <c r="J132" s="75"/>
      <c r="K132" s="75"/>
      <c r="L132" s="75"/>
      <c r="M132" s="75"/>
      <c r="N132" s="75"/>
      <c r="O132" s="75"/>
      <c r="P132" s="75"/>
      <c r="Q132" s="75"/>
      <c r="R132" s="79"/>
      <c r="S132" s="79"/>
      <c r="T132" s="79"/>
      <c r="U132" s="79"/>
      <c r="V132" s="80"/>
    </row>
    <row r="133" spans="1:22" ht="30" customHeight="1">
      <c r="A133" s="17">
        <v>134</v>
      </c>
      <c r="B133" s="44" t="s">
        <v>158</v>
      </c>
      <c r="C133" s="4" t="s">
        <v>157</v>
      </c>
      <c r="D133" s="5" t="s">
        <v>21</v>
      </c>
      <c r="E133" s="65" t="s">
        <v>22</v>
      </c>
      <c r="F133" s="34" t="s">
        <v>11</v>
      </c>
      <c r="G133" s="73"/>
      <c r="H133" s="75"/>
      <c r="I133" s="75"/>
      <c r="J133" s="75"/>
      <c r="K133" s="75"/>
      <c r="L133" s="75"/>
      <c r="M133" s="75"/>
      <c r="N133" s="75"/>
      <c r="O133" s="75"/>
      <c r="P133" s="75"/>
      <c r="Q133" s="75"/>
      <c r="R133" s="79"/>
      <c r="S133" s="79"/>
      <c r="T133" s="79"/>
      <c r="U133" s="79"/>
      <c r="V133" s="80"/>
    </row>
    <row r="134" spans="1:22" ht="30" customHeight="1">
      <c r="A134" s="17">
        <v>135</v>
      </c>
      <c r="B134" s="44" t="s">
        <v>159</v>
      </c>
      <c r="C134" s="4" t="s">
        <v>157</v>
      </c>
      <c r="D134" s="5" t="s">
        <v>21</v>
      </c>
      <c r="E134" s="65" t="s">
        <v>22</v>
      </c>
      <c r="F134" s="34" t="s">
        <v>11</v>
      </c>
      <c r="G134" s="73"/>
      <c r="H134" s="75"/>
      <c r="I134" s="75"/>
      <c r="J134" s="75"/>
      <c r="K134" s="75"/>
      <c r="L134" s="75"/>
      <c r="M134" s="75"/>
      <c r="N134" s="75"/>
      <c r="O134" s="75"/>
      <c r="P134" s="75"/>
      <c r="Q134" s="75"/>
      <c r="R134" s="79"/>
      <c r="S134" s="79"/>
      <c r="T134" s="79"/>
      <c r="U134" s="79"/>
      <c r="V134" s="80"/>
    </row>
    <row r="135" spans="1:22" ht="30" customHeight="1">
      <c r="A135" s="17">
        <v>136</v>
      </c>
      <c r="B135" s="44" t="s">
        <v>160</v>
      </c>
      <c r="C135" s="4" t="s">
        <v>157</v>
      </c>
      <c r="D135" s="5" t="s">
        <v>21</v>
      </c>
      <c r="E135" s="65" t="s">
        <v>22</v>
      </c>
      <c r="F135" s="34" t="s">
        <v>11</v>
      </c>
      <c r="G135" s="73"/>
      <c r="H135" s="75"/>
      <c r="I135" s="75"/>
      <c r="J135" s="75"/>
      <c r="K135" s="75"/>
      <c r="L135" s="75"/>
      <c r="M135" s="75"/>
      <c r="N135" s="75"/>
      <c r="O135" s="75"/>
      <c r="P135" s="75"/>
      <c r="Q135" s="75"/>
      <c r="R135" s="79"/>
      <c r="S135" s="79"/>
      <c r="T135" s="79"/>
      <c r="U135" s="79"/>
      <c r="V135" s="80"/>
    </row>
    <row r="136" spans="1:22" ht="30" customHeight="1">
      <c r="A136" s="17">
        <v>137</v>
      </c>
      <c r="B136" s="44" t="s">
        <v>161</v>
      </c>
      <c r="C136" s="4" t="s">
        <v>157</v>
      </c>
      <c r="D136" s="5" t="s">
        <v>21</v>
      </c>
      <c r="E136" s="65" t="s">
        <v>22</v>
      </c>
      <c r="F136" s="34" t="s">
        <v>11</v>
      </c>
      <c r="G136" s="73"/>
      <c r="H136" s="75"/>
      <c r="I136" s="75"/>
      <c r="J136" s="75"/>
      <c r="K136" s="75"/>
      <c r="L136" s="75"/>
      <c r="M136" s="75"/>
      <c r="N136" s="75"/>
      <c r="O136" s="75"/>
      <c r="P136" s="75"/>
      <c r="Q136" s="75"/>
      <c r="R136" s="79"/>
      <c r="S136" s="79"/>
      <c r="T136" s="79"/>
      <c r="U136" s="79"/>
      <c r="V136" s="80"/>
    </row>
    <row r="137" spans="1:22" ht="30" customHeight="1">
      <c r="A137" s="17">
        <v>138</v>
      </c>
      <c r="B137" s="44" t="s">
        <v>162</v>
      </c>
      <c r="C137" s="4" t="s">
        <v>157</v>
      </c>
      <c r="D137" s="5" t="s">
        <v>21</v>
      </c>
      <c r="E137" s="65" t="s">
        <v>22</v>
      </c>
      <c r="F137" s="34" t="s">
        <v>11</v>
      </c>
      <c r="G137" s="73"/>
      <c r="H137" s="75"/>
      <c r="I137" s="75"/>
      <c r="J137" s="75"/>
      <c r="K137" s="75"/>
      <c r="L137" s="75"/>
      <c r="M137" s="75"/>
      <c r="N137" s="75"/>
      <c r="O137" s="75"/>
      <c r="P137" s="75"/>
      <c r="Q137" s="75"/>
      <c r="R137" s="79"/>
      <c r="S137" s="79"/>
      <c r="T137" s="79"/>
      <c r="U137" s="79"/>
      <c r="V137" s="80"/>
    </row>
    <row r="138" spans="1:22" ht="30" customHeight="1">
      <c r="A138" s="17">
        <v>139</v>
      </c>
      <c r="B138" s="44" t="s">
        <v>163</v>
      </c>
      <c r="C138" s="4" t="s">
        <v>157</v>
      </c>
      <c r="D138" s="5" t="s">
        <v>21</v>
      </c>
      <c r="E138" s="65" t="s">
        <v>22</v>
      </c>
      <c r="F138" s="34" t="s">
        <v>11</v>
      </c>
      <c r="G138" s="73"/>
      <c r="H138" s="75"/>
      <c r="I138" s="75"/>
      <c r="J138" s="75"/>
      <c r="K138" s="75"/>
      <c r="L138" s="75"/>
      <c r="M138" s="75"/>
      <c r="N138" s="75"/>
      <c r="O138" s="75"/>
      <c r="P138" s="75"/>
      <c r="Q138" s="75"/>
      <c r="R138" s="79"/>
      <c r="S138" s="79"/>
      <c r="T138" s="79"/>
      <c r="U138" s="79"/>
      <c r="V138" s="80"/>
    </row>
    <row r="139" spans="1:22" ht="30" customHeight="1">
      <c r="A139" s="17">
        <v>140</v>
      </c>
      <c r="B139" s="44" t="s">
        <v>164</v>
      </c>
      <c r="C139" s="4" t="s">
        <v>157</v>
      </c>
      <c r="D139" s="5" t="s">
        <v>21</v>
      </c>
      <c r="E139" s="65" t="s">
        <v>22</v>
      </c>
      <c r="F139" s="34" t="s">
        <v>11</v>
      </c>
      <c r="G139" s="73"/>
      <c r="H139" s="75"/>
      <c r="I139" s="75"/>
      <c r="J139" s="75"/>
      <c r="K139" s="75"/>
      <c r="L139" s="75"/>
      <c r="M139" s="75"/>
      <c r="N139" s="75"/>
      <c r="O139" s="75"/>
      <c r="P139" s="75"/>
      <c r="Q139" s="75"/>
      <c r="R139" s="79"/>
      <c r="S139" s="79"/>
      <c r="T139" s="79"/>
      <c r="U139" s="79"/>
      <c r="V139" s="80"/>
    </row>
    <row r="140" spans="1:22" ht="30" customHeight="1">
      <c r="A140" s="17">
        <v>141</v>
      </c>
      <c r="B140" s="44" t="s">
        <v>165</v>
      </c>
      <c r="C140" s="4" t="s">
        <v>157</v>
      </c>
      <c r="D140" s="5" t="s">
        <v>21</v>
      </c>
      <c r="E140" s="65" t="s">
        <v>22</v>
      </c>
      <c r="F140" s="34" t="s">
        <v>11</v>
      </c>
      <c r="G140" s="73"/>
      <c r="H140" s="75"/>
      <c r="I140" s="75"/>
      <c r="J140" s="75"/>
      <c r="K140" s="75"/>
      <c r="L140" s="75"/>
      <c r="M140" s="75"/>
      <c r="N140" s="75"/>
      <c r="O140" s="75"/>
      <c r="P140" s="75"/>
      <c r="Q140" s="75"/>
      <c r="R140" s="79"/>
      <c r="S140" s="79"/>
      <c r="T140" s="79"/>
      <c r="U140" s="79"/>
      <c r="V140" s="80"/>
    </row>
    <row r="141" spans="1:22" ht="30" customHeight="1">
      <c r="A141" s="17">
        <v>142</v>
      </c>
      <c r="B141" s="44" t="s">
        <v>166</v>
      </c>
      <c r="C141" s="4" t="s">
        <v>119</v>
      </c>
      <c r="D141" s="5" t="s">
        <v>21</v>
      </c>
      <c r="E141" s="65" t="s">
        <v>22</v>
      </c>
      <c r="F141" s="34" t="s">
        <v>11</v>
      </c>
      <c r="G141" s="73"/>
      <c r="H141" s="75"/>
      <c r="I141" s="75"/>
      <c r="J141" s="75"/>
      <c r="K141" s="75"/>
      <c r="L141" s="75"/>
      <c r="M141" s="75"/>
      <c r="N141" s="75"/>
      <c r="O141" s="75"/>
      <c r="P141" s="75"/>
      <c r="Q141" s="75"/>
      <c r="R141" s="79"/>
      <c r="S141" s="79"/>
      <c r="T141" s="79"/>
      <c r="U141" s="79"/>
      <c r="V141" s="80"/>
    </row>
    <row r="142" spans="1:22" ht="30" customHeight="1">
      <c r="A142" s="17">
        <v>143</v>
      </c>
      <c r="B142" s="44" t="s">
        <v>167</v>
      </c>
      <c r="C142" s="4" t="s">
        <v>119</v>
      </c>
      <c r="D142" s="5" t="s">
        <v>21</v>
      </c>
      <c r="E142" s="65" t="s">
        <v>22</v>
      </c>
      <c r="F142" s="34" t="s">
        <v>11</v>
      </c>
      <c r="G142" s="73"/>
      <c r="H142" s="75"/>
      <c r="I142" s="75"/>
      <c r="J142" s="75"/>
      <c r="K142" s="75"/>
      <c r="L142" s="75"/>
      <c r="M142" s="75"/>
      <c r="N142" s="75"/>
      <c r="O142" s="75"/>
      <c r="P142" s="75"/>
      <c r="Q142" s="75"/>
      <c r="R142" s="79"/>
      <c r="S142" s="79"/>
      <c r="T142" s="79"/>
      <c r="U142" s="79"/>
      <c r="V142" s="80"/>
    </row>
    <row r="143" spans="1:22" ht="30" customHeight="1">
      <c r="A143" s="17">
        <v>144</v>
      </c>
      <c r="B143" s="44" t="s">
        <v>168</v>
      </c>
      <c r="C143" s="4" t="s">
        <v>119</v>
      </c>
      <c r="D143" s="5" t="s">
        <v>21</v>
      </c>
      <c r="E143" s="65" t="s">
        <v>22</v>
      </c>
      <c r="F143" s="34" t="s">
        <v>11</v>
      </c>
      <c r="G143" s="73"/>
      <c r="H143" s="75"/>
      <c r="I143" s="75"/>
      <c r="J143" s="75"/>
      <c r="K143" s="75"/>
      <c r="L143" s="75"/>
      <c r="M143" s="75"/>
      <c r="N143" s="75"/>
      <c r="O143" s="75"/>
      <c r="P143" s="75"/>
      <c r="Q143" s="75"/>
      <c r="R143" s="79"/>
      <c r="S143" s="79"/>
      <c r="T143" s="79"/>
      <c r="U143" s="79"/>
      <c r="V143" s="80"/>
    </row>
    <row r="144" spans="1:22" ht="30" customHeight="1">
      <c r="A144" s="17">
        <v>145</v>
      </c>
      <c r="B144" s="44" t="s">
        <v>169</v>
      </c>
      <c r="C144" s="4" t="s">
        <v>119</v>
      </c>
      <c r="D144" s="5" t="s">
        <v>21</v>
      </c>
      <c r="E144" s="65" t="s">
        <v>22</v>
      </c>
      <c r="F144" s="34" t="s">
        <v>11</v>
      </c>
      <c r="G144" s="73"/>
      <c r="H144" s="75"/>
      <c r="I144" s="75"/>
      <c r="J144" s="75"/>
      <c r="K144" s="75"/>
      <c r="L144" s="75"/>
      <c r="M144" s="75"/>
      <c r="N144" s="75"/>
      <c r="O144" s="75"/>
      <c r="P144" s="75"/>
      <c r="Q144" s="75"/>
      <c r="R144" s="79"/>
      <c r="S144" s="79"/>
      <c r="T144" s="79"/>
      <c r="U144" s="79"/>
      <c r="V144" s="80"/>
    </row>
    <row r="145" spans="1:22" ht="30" customHeight="1">
      <c r="A145" s="17">
        <v>146</v>
      </c>
      <c r="B145" s="44" t="s">
        <v>170</v>
      </c>
      <c r="C145" s="4" t="s">
        <v>119</v>
      </c>
      <c r="D145" s="5" t="s">
        <v>21</v>
      </c>
      <c r="E145" s="65"/>
      <c r="F145" s="34" t="s">
        <v>11</v>
      </c>
      <c r="G145" s="73"/>
      <c r="H145" s="75"/>
      <c r="I145" s="75"/>
      <c r="J145" s="75"/>
      <c r="K145" s="75"/>
      <c r="L145" s="75"/>
      <c r="M145" s="75"/>
      <c r="N145" s="75"/>
      <c r="O145" s="75"/>
      <c r="P145" s="75"/>
      <c r="Q145" s="75"/>
      <c r="R145" s="79"/>
      <c r="S145" s="79"/>
      <c r="T145" s="79"/>
      <c r="U145" s="79"/>
      <c r="V145" s="80"/>
    </row>
    <row r="146" spans="1:22" ht="30" customHeight="1">
      <c r="A146" s="17">
        <v>147</v>
      </c>
      <c r="B146" s="44" t="s">
        <v>171</v>
      </c>
      <c r="C146" s="4" t="s">
        <v>119</v>
      </c>
      <c r="D146" s="5" t="s">
        <v>21</v>
      </c>
      <c r="E146" s="65" t="s">
        <v>17</v>
      </c>
      <c r="F146" s="34" t="s">
        <v>11</v>
      </c>
      <c r="G146" s="73"/>
      <c r="H146" s="75"/>
      <c r="I146" s="75"/>
      <c r="J146" s="75"/>
      <c r="K146" s="75"/>
      <c r="L146" s="75"/>
      <c r="M146" s="75"/>
      <c r="N146" s="75"/>
      <c r="O146" s="75"/>
      <c r="P146" s="75"/>
      <c r="Q146" s="75"/>
      <c r="R146" s="79"/>
      <c r="S146" s="79"/>
      <c r="T146" s="79"/>
      <c r="U146" s="79"/>
      <c r="V146" s="80"/>
    </row>
    <row r="147" spans="1:22" ht="30" customHeight="1">
      <c r="A147" s="17">
        <v>148</v>
      </c>
      <c r="B147" s="50" t="s">
        <v>172</v>
      </c>
      <c r="C147" s="4" t="s">
        <v>119</v>
      </c>
      <c r="D147" s="5" t="s">
        <v>21</v>
      </c>
      <c r="E147" s="65" t="s">
        <v>173</v>
      </c>
      <c r="F147" s="34" t="s">
        <v>11</v>
      </c>
      <c r="G147" s="73"/>
      <c r="H147" s="75"/>
      <c r="I147" s="75"/>
      <c r="J147" s="75"/>
      <c r="K147" s="75"/>
      <c r="L147" s="75"/>
      <c r="M147" s="75"/>
      <c r="N147" s="75"/>
      <c r="O147" s="75"/>
      <c r="P147" s="75"/>
      <c r="Q147" s="75"/>
      <c r="R147" s="79"/>
      <c r="S147" s="79"/>
      <c r="T147" s="79"/>
      <c r="U147" s="79"/>
      <c r="V147" s="80"/>
    </row>
    <row r="148" spans="1:22" ht="30" customHeight="1">
      <c r="A148" s="17">
        <v>149</v>
      </c>
      <c r="B148" s="50" t="s">
        <v>174</v>
      </c>
      <c r="C148" s="4" t="s">
        <v>119</v>
      </c>
      <c r="D148" s="5" t="s">
        <v>21</v>
      </c>
      <c r="E148" s="65" t="s">
        <v>173</v>
      </c>
      <c r="F148" s="34" t="s">
        <v>11</v>
      </c>
      <c r="G148" s="73"/>
      <c r="H148" s="75"/>
      <c r="I148" s="75"/>
      <c r="J148" s="75"/>
      <c r="K148" s="75"/>
      <c r="L148" s="75"/>
      <c r="M148" s="75"/>
      <c r="N148" s="75"/>
      <c r="O148" s="75"/>
      <c r="P148" s="75"/>
      <c r="Q148" s="75"/>
      <c r="R148" s="79"/>
      <c r="S148" s="79"/>
      <c r="T148" s="79"/>
      <c r="U148" s="79"/>
      <c r="V148" s="80"/>
    </row>
    <row r="149" spans="1:22" ht="30" customHeight="1">
      <c r="A149" s="17">
        <v>150</v>
      </c>
      <c r="B149" s="50" t="s">
        <v>175</v>
      </c>
      <c r="C149" s="4" t="s">
        <v>119</v>
      </c>
      <c r="D149" s="5" t="s">
        <v>21</v>
      </c>
      <c r="E149" s="65" t="s">
        <v>173</v>
      </c>
      <c r="F149" s="34" t="s">
        <v>11</v>
      </c>
      <c r="G149" s="73"/>
      <c r="H149" s="75"/>
      <c r="I149" s="75"/>
      <c r="J149" s="75"/>
      <c r="K149" s="75"/>
      <c r="L149" s="75"/>
      <c r="M149" s="75"/>
      <c r="N149" s="75"/>
      <c r="O149" s="75"/>
      <c r="P149" s="75"/>
      <c r="Q149" s="75"/>
      <c r="R149" s="79"/>
      <c r="S149" s="79"/>
      <c r="T149" s="79"/>
      <c r="U149" s="79"/>
      <c r="V149" s="80"/>
    </row>
    <row r="150" spans="1:22" ht="20.25" customHeight="1">
      <c r="A150" s="17">
        <v>151</v>
      </c>
      <c r="B150" s="44" t="s">
        <v>176</v>
      </c>
      <c r="C150" s="4" t="s">
        <v>157</v>
      </c>
      <c r="D150" s="5" t="s">
        <v>21</v>
      </c>
      <c r="E150" s="65" t="s">
        <v>17</v>
      </c>
      <c r="F150" s="34" t="s">
        <v>11</v>
      </c>
      <c r="G150" s="73"/>
      <c r="H150" s="75"/>
      <c r="I150" s="75"/>
      <c r="J150" s="75"/>
      <c r="K150" s="75"/>
      <c r="L150" s="75"/>
      <c r="M150" s="75"/>
      <c r="N150" s="75"/>
      <c r="O150" s="75"/>
      <c r="P150" s="75"/>
      <c r="Q150" s="75"/>
      <c r="R150" s="79"/>
      <c r="S150" s="79"/>
      <c r="T150" s="79"/>
      <c r="U150" s="79"/>
      <c r="V150" s="80"/>
    </row>
    <row r="151" spans="1:22" ht="20.25" customHeight="1">
      <c r="A151" s="17">
        <v>152</v>
      </c>
      <c r="B151" s="44" t="s">
        <v>177</v>
      </c>
      <c r="C151" s="4" t="s">
        <v>8</v>
      </c>
      <c r="D151" s="5" t="s">
        <v>178</v>
      </c>
      <c r="E151" s="65" t="s">
        <v>179</v>
      </c>
      <c r="F151" s="34" t="s">
        <v>11</v>
      </c>
      <c r="G151" s="73"/>
      <c r="H151" s="75"/>
      <c r="I151" s="75"/>
      <c r="J151" s="75"/>
      <c r="K151" s="75"/>
      <c r="L151" s="75"/>
      <c r="M151" s="75"/>
      <c r="N151" s="75"/>
      <c r="O151" s="75"/>
      <c r="P151" s="75"/>
      <c r="Q151" s="75"/>
      <c r="R151" s="79"/>
      <c r="S151" s="79"/>
      <c r="T151" s="79"/>
      <c r="U151" s="79"/>
      <c r="V151" s="80"/>
    </row>
    <row r="152" spans="1:22" ht="20.25" customHeight="1">
      <c r="A152" s="17">
        <v>153</v>
      </c>
      <c r="B152" s="44" t="s">
        <v>180</v>
      </c>
      <c r="C152" s="4" t="s">
        <v>8</v>
      </c>
      <c r="D152" s="5" t="s">
        <v>178</v>
      </c>
      <c r="E152" s="65" t="s">
        <v>179</v>
      </c>
      <c r="F152" s="34" t="s">
        <v>11</v>
      </c>
      <c r="G152" s="73"/>
      <c r="H152" s="75"/>
      <c r="I152" s="75"/>
      <c r="J152" s="75"/>
      <c r="K152" s="75"/>
      <c r="L152" s="75"/>
      <c r="M152" s="75"/>
      <c r="N152" s="75"/>
      <c r="O152" s="75"/>
      <c r="P152" s="75"/>
      <c r="Q152" s="75"/>
      <c r="R152" s="79"/>
      <c r="S152" s="79"/>
      <c r="T152" s="79"/>
      <c r="U152" s="79"/>
      <c r="V152" s="80"/>
    </row>
    <row r="153" spans="1:22" ht="20.25" customHeight="1">
      <c r="A153" s="17">
        <v>154</v>
      </c>
      <c r="B153" s="44" t="s">
        <v>181</v>
      </c>
      <c r="C153" s="4" t="s">
        <v>8</v>
      </c>
      <c r="D153" s="5" t="s">
        <v>178</v>
      </c>
      <c r="E153" s="65" t="s">
        <v>22</v>
      </c>
      <c r="F153" s="34" t="s">
        <v>11</v>
      </c>
      <c r="G153" s="73"/>
      <c r="H153" s="75"/>
      <c r="I153" s="75"/>
      <c r="J153" s="75"/>
      <c r="K153" s="75"/>
      <c r="L153" s="75"/>
      <c r="M153" s="75"/>
      <c r="N153" s="75"/>
      <c r="O153" s="75"/>
      <c r="P153" s="75"/>
      <c r="Q153" s="75"/>
      <c r="R153" s="79"/>
      <c r="S153" s="79"/>
      <c r="T153" s="79"/>
      <c r="U153" s="79"/>
      <c r="V153" s="80"/>
    </row>
    <row r="154" spans="1:22" ht="20.25" customHeight="1">
      <c r="A154" s="17">
        <v>155</v>
      </c>
      <c r="B154" s="44" t="s">
        <v>182</v>
      </c>
      <c r="C154" s="4" t="s">
        <v>8</v>
      </c>
      <c r="D154" s="5" t="s">
        <v>178</v>
      </c>
      <c r="E154" s="65" t="s">
        <v>22</v>
      </c>
      <c r="F154" s="34" t="s">
        <v>11</v>
      </c>
      <c r="G154" s="73"/>
      <c r="H154" s="75"/>
      <c r="I154" s="75"/>
      <c r="J154" s="75"/>
      <c r="K154" s="75"/>
      <c r="L154" s="75"/>
      <c r="M154" s="75"/>
      <c r="N154" s="75"/>
      <c r="O154" s="75"/>
      <c r="P154" s="75"/>
      <c r="Q154" s="75"/>
      <c r="R154" s="79"/>
      <c r="S154" s="79"/>
      <c r="T154" s="79"/>
      <c r="U154" s="79"/>
      <c r="V154" s="80"/>
    </row>
    <row r="155" spans="1:22" ht="20.25" customHeight="1">
      <c r="A155" s="17">
        <v>156</v>
      </c>
      <c r="B155" s="44" t="s">
        <v>183</v>
      </c>
      <c r="C155" s="4" t="s">
        <v>8</v>
      </c>
      <c r="D155" s="5" t="s">
        <v>178</v>
      </c>
      <c r="E155" s="65" t="s">
        <v>179</v>
      </c>
      <c r="F155" s="34" t="s">
        <v>11</v>
      </c>
      <c r="G155" s="73"/>
      <c r="H155" s="75"/>
      <c r="I155" s="75"/>
      <c r="J155" s="75"/>
      <c r="K155" s="75"/>
      <c r="L155" s="75"/>
      <c r="M155" s="75"/>
      <c r="N155" s="75"/>
      <c r="O155" s="75"/>
      <c r="P155" s="75"/>
      <c r="Q155" s="75"/>
      <c r="R155" s="79"/>
      <c r="S155" s="79"/>
      <c r="T155" s="79"/>
      <c r="U155" s="79"/>
      <c r="V155" s="80"/>
    </row>
    <row r="156" spans="1:22" ht="20.25" customHeight="1">
      <c r="A156" s="17">
        <v>157</v>
      </c>
      <c r="B156" s="44" t="s">
        <v>184</v>
      </c>
      <c r="C156" s="4" t="s">
        <v>8</v>
      </c>
      <c r="D156" s="5" t="s">
        <v>178</v>
      </c>
      <c r="E156" s="65" t="s">
        <v>22</v>
      </c>
      <c r="F156" s="34" t="s">
        <v>11</v>
      </c>
      <c r="G156" s="73"/>
      <c r="H156" s="75"/>
      <c r="I156" s="75"/>
      <c r="J156" s="75"/>
      <c r="K156" s="75"/>
      <c r="L156" s="75"/>
      <c r="M156" s="75"/>
      <c r="N156" s="75"/>
      <c r="O156" s="75"/>
      <c r="P156" s="75"/>
      <c r="Q156" s="75"/>
      <c r="R156" s="79"/>
      <c r="S156" s="79"/>
      <c r="T156" s="79"/>
      <c r="U156" s="79"/>
      <c r="V156" s="80"/>
    </row>
    <row r="157" spans="1:22" ht="20.25" customHeight="1">
      <c r="A157" s="17">
        <v>158</v>
      </c>
      <c r="B157" s="44" t="s">
        <v>185</v>
      </c>
      <c r="C157" s="4" t="s">
        <v>8</v>
      </c>
      <c r="D157" s="5" t="s">
        <v>178</v>
      </c>
      <c r="E157" s="65" t="s">
        <v>22</v>
      </c>
      <c r="F157" s="34" t="s">
        <v>11</v>
      </c>
      <c r="G157" s="73"/>
      <c r="H157" s="75"/>
      <c r="I157" s="75"/>
      <c r="J157" s="75"/>
      <c r="K157" s="75"/>
      <c r="L157" s="75"/>
      <c r="M157" s="75"/>
      <c r="N157" s="75"/>
      <c r="O157" s="75"/>
      <c r="P157" s="75"/>
      <c r="Q157" s="75"/>
      <c r="R157" s="79"/>
      <c r="S157" s="79"/>
      <c r="T157" s="79"/>
      <c r="U157" s="79"/>
      <c r="V157" s="80"/>
    </row>
    <row r="158" spans="1:22" ht="20.25" customHeight="1">
      <c r="A158" s="17">
        <v>159</v>
      </c>
      <c r="B158" s="44" t="s">
        <v>186</v>
      </c>
      <c r="C158" s="4" t="s">
        <v>8</v>
      </c>
      <c r="D158" s="5" t="s">
        <v>178</v>
      </c>
      <c r="E158" s="65" t="s">
        <v>179</v>
      </c>
      <c r="F158" s="34" t="s">
        <v>11</v>
      </c>
      <c r="G158" s="73"/>
      <c r="H158" s="75"/>
      <c r="I158" s="75"/>
      <c r="J158" s="75"/>
      <c r="K158" s="75"/>
      <c r="L158" s="75"/>
      <c r="M158" s="75"/>
      <c r="N158" s="75"/>
      <c r="O158" s="75"/>
      <c r="P158" s="75"/>
      <c r="Q158" s="75"/>
      <c r="R158" s="79"/>
      <c r="S158" s="79"/>
      <c r="T158" s="79"/>
      <c r="U158" s="79"/>
      <c r="V158" s="80"/>
    </row>
    <row r="159" spans="1:22" ht="20.25" customHeight="1">
      <c r="A159" s="17">
        <v>160</v>
      </c>
      <c r="B159" s="44" t="s">
        <v>187</v>
      </c>
      <c r="C159" s="4" t="s">
        <v>8</v>
      </c>
      <c r="D159" s="5" t="s">
        <v>178</v>
      </c>
      <c r="E159" s="65" t="s">
        <v>188</v>
      </c>
      <c r="F159" s="34" t="s">
        <v>11</v>
      </c>
      <c r="G159" s="73"/>
      <c r="H159" s="75"/>
      <c r="I159" s="75"/>
      <c r="J159" s="75"/>
      <c r="K159" s="75"/>
      <c r="L159" s="75"/>
      <c r="M159" s="75"/>
      <c r="N159" s="75"/>
      <c r="O159" s="75"/>
      <c r="P159" s="75"/>
      <c r="Q159" s="75"/>
      <c r="R159" s="79"/>
      <c r="S159" s="79"/>
      <c r="T159" s="79"/>
      <c r="U159" s="79"/>
      <c r="V159" s="80"/>
    </row>
    <row r="160" spans="1:22" ht="20.25" customHeight="1">
      <c r="A160" s="17">
        <v>161</v>
      </c>
      <c r="B160" s="44" t="s">
        <v>189</v>
      </c>
      <c r="C160" s="4" t="s">
        <v>8</v>
      </c>
      <c r="D160" s="5" t="s">
        <v>178</v>
      </c>
      <c r="E160" s="65" t="s">
        <v>179</v>
      </c>
      <c r="F160" s="34" t="s">
        <v>11</v>
      </c>
      <c r="G160" s="73"/>
      <c r="H160" s="75"/>
      <c r="I160" s="75"/>
      <c r="J160" s="75"/>
      <c r="K160" s="75"/>
      <c r="L160" s="75"/>
      <c r="M160" s="75"/>
      <c r="N160" s="75"/>
      <c r="O160" s="75"/>
      <c r="P160" s="75"/>
      <c r="Q160" s="75"/>
      <c r="R160" s="79"/>
      <c r="S160" s="79"/>
      <c r="T160" s="79"/>
      <c r="U160" s="79"/>
      <c r="V160" s="80"/>
    </row>
    <row r="161" spans="1:22" ht="20.25" customHeight="1">
      <c r="A161" s="17">
        <v>162</v>
      </c>
      <c r="B161" s="44" t="s">
        <v>190</v>
      </c>
      <c r="C161" s="4" t="s">
        <v>8</v>
      </c>
      <c r="D161" s="5" t="s">
        <v>178</v>
      </c>
      <c r="E161" s="65" t="s">
        <v>22</v>
      </c>
      <c r="F161" s="34" t="s">
        <v>11</v>
      </c>
      <c r="G161" s="73"/>
      <c r="H161" s="75"/>
      <c r="I161" s="75"/>
      <c r="J161" s="75"/>
      <c r="K161" s="75"/>
      <c r="L161" s="75"/>
      <c r="M161" s="75"/>
      <c r="N161" s="75"/>
      <c r="O161" s="75"/>
      <c r="P161" s="75"/>
      <c r="Q161" s="75"/>
      <c r="R161" s="79"/>
      <c r="S161" s="79"/>
      <c r="T161" s="79"/>
      <c r="U161" s="79"/>
      <c r="V161" s="80"/>
    </row>
    <row r="162" spans="1:22" ht="20.25" customHeight="1">
      <c r="A162" s="17">
        <v>163</v>
      </c>
      <c r="B162" s="44" t="s">
        <v>191</v>
      </c>
      <c r="C162" s="4" t="s">
        <v>8</v>
      </c>
      <c r="D162" s="5" t="s">
        <v>178</v>
      </c>
      <c r="E162" s="65" t="s">
        <v>14</v>
      </c>
      <c r="F162" s="34" t="s">
        <v>11</v>
      </c>
      <c r="G162" s="73"/>
      <c r="H162" s="75"/>
      <c r="I162" s="75"/>
      <c r="J162" s="75"/>
      <c r="K162" s="75"/>
      <c r="L162" s="75"/>
      <c r="M162" s="75"/>
      <c r="N162" s="75"/>
      <c r="O162" s="75"/>
      <c r="P162" s="75"/>
      <c r="Q162" s="75"/>
      <c r="R162" s="79"/>
      <c r="S162" s="79"/>
      <c r="T162" s="79"/>
      <c r="U162" s="79"/>
      <c r="V162" s="80"/>
    </row>
    <row r="163" spans="1:22" ht="20.25" customHeight="1">
      <c r="A163" s="17">
        <v>164</v>
      </c>
      <c r="B163" s="44" t="s">
        <v>192</v>
      </c>
      <c r="C163" s="4" t="s">
        <v>8</v>
      </c>
      <c r="D163" s="5" t="s">
        <v>178</v>
      </c>
      <c r="E163" s="65" t="s">
        <v>22</v>
      </c>
      <c r="F163" s="34" t="s">
        <v>11</v>
      </c>
      <c r="G163" s="73"/>
      <c r="H163" s="75"/>
      <c r="I163" s="75"/>
      <c r="J163" s="75"/>
      <c r="K163" s="75"/>
      <c r="L163" s="75"/>
      <c r="M163" s="75"/>
      <c r="N163" s="75"/>
      <c r="O163" s="75"/>
      <c r="P163" s="75"/>
      <c r="Q163" s="75"/>
      <c r="R163" s="79"/>
      <c r="S163" s="79"/>
      <c r="T163" s="79"/>
      <c r="U163" s="79"/>
      <c r="V163" s="80"/>
    </row>
    <row r="164" spans="1:22" ht="20.25" customHeight="1">
      <c r="A164" s="17">
        <v>165</v>
      </c>
      <c r="B164" s="44" t="s">
        <v>193</v>
      </c>
      <c r="C164" s="4" t="s">
        <v>8</v>
      </c>
      <c r="D164" s="5" t="s">
        <v>178</v>
      </c>
      <c r="E164" s="65" t="s">
        <v>22</v>
      </c>
      <c r="F164" s="34" t="s">
        <v>11</v>
      </c>
      <c r="G164" s="73"/>
      <c r="H164" s="75"/>
      <c r="I164" s="75"/>
      <c r="J164" s="75"/>
      <c r="K164" s="75"/>
      <c r="L164" s="75"/>
      <c r="M164" s="75"/>
      <c r="N164" s="75"/>
      <c r="O164" s="75"/>
      <c r="P164" s="75"/>
      <c r="Q164" s="75"/>
      <c r="R164" s="79"/>
      <c r="S164" s="79"/>
      <c r="T164" s="79"/>
      <c r="U164" s="79"/>
      <c r="V164" s="80"/>
    </row>
    <row r="165" spans="1:22" ht="20.25" customHeight="1">
      <c r="A165" s="17">
        <v>166</v>
      </c>
      <c r="B165" s="44" t="s">
        <v>194</v>
      </c>
      <c r="C165" s="4" t="s">
        <v>8</v>
      </c>
      <c r="D165" s="5" t="s">
        <v>178</v>
      </c>
      <c r="E165" s="65" t="s">
        <v>22</v>
      </c>
      <c r="F165" s="34" t="s">
        <v>11</v>
      </c>
      <c r="G165" s="73"/>
      <c r="H165" s="75"/>
      <c r="I165" s="75"/>
      <c r="J165" s="75"/>
      <c r="K165" s="75"/>
      <c r="L165" s="75"/>
      <c r="M165" s="75"/>
      <c r="N165" s="75"/>
      <c r="O165" s="75"/>
      <c r="P165" s="75"/>
      <c r="Q165" s="75"/>
      <c r="R165" s="79"/>
      <c r="S165" s="79"/>
      <c r="T165" s="79"/>
      <c r="U165" s="79"/>
      <c r="V165" s="80"/>
    </row>
    <row r="166" spans="1:22" ht="20.25" customHeight="1">
      <c r="A166" s="17">
        <v>167</v>
      </c>
      <c r="B166" s="44" t="s">
        <v>195</v>
      </c>
      <c r="C166" s="4" t="s">
        <v>8</v>
      </c>
      <c r="D166" s="5" t="s">
        <v>178</v>
      </c>
      <c r="E166" s="65" t="s">
        <v>179</v>
      </c>
      <c r="F166" s="34" t="s">
        <v>11</v>
      </c>
      <c r="G166" s="73"/>
      <c r="H166" s="75"/>
      <c r="I166" s="75"/>
      <c r="J166" s="75"/>
      <c r="K166" s="75"/>
      <c r="L166" s="75"/>
      <c r="M166" s="75"/>
      <c r="N166" s="75"/>
      <c r="O166" s="75"/>
      <c r="P166" s="75"/>
      <c r="Q166" s="75"/>
      <c r="R166" s="79"/>
      <c r="S166" s="79"/>
      <c r="T166" s="79"/>
      <c r="U166" s="79"/>
      <c r="V166" s="80"/>
    </row>
    <row r="167" spans="1:22" ht="20.25" customHeight="1">
      <c r="A167" s="17">
        <v>168</v>
      </c>
      <c r="B167" s="44" t="s">
        <v>196</v>
      </c>
      <c r="C167" s="4" t="s">
        <v>8</v>
      </c>
      <c r="D167" s="5" t="s">
        <v>178</v>
      </c>
      <c r="E167" s="65" t="s">
        <v>91</v>
      </c>
      <c r="F167" s="34" t="s">
        <v>11</v>
      </c>
      <c r="G167" s="73"/>
      <c r="H167" s="75"/>
      <c r="I167" s="75"/>
      <c r="J167" s="75"/>
      <c r="K167" s="75"/>
      <c r="L167" s="75"/>
      <c r="M167" s="75"/>
      <c r="N167" s="75"/>
      <c r="O167" s="75"/>
      <c r="P167" s="75"/>
      <c r="Q167" s="75"/>
      <c r="R167" s="79"/>
      <c r="S167" s="79"/>
      <c r="T167" s="79"/>
      <c r="U167" s="79"/>
      <c r="V167" s="80"/>
    </row>
    <row r="168" spans="1:22" ht="30" customHeight="1">
      <c r="A168" s="17">
        <v>169</v>
      </c>
      <c r="B168" s="44" t="s">
        <v>197</v>
      </c>
      <c r="C168" s="4" t="s">
        <v>8</v>
      </c>
      <c r="D168" s="5" t="s">
        <v>178</v>
      </c>
      <c r="E168" s="65" t="s">
        <v>22</v>
      </c>
      <c r="F168" s="34" t="s">
        <v>11</v>
      </c>
      <c r="G168" s="73"/>
      <c r="H168" s="75"/>
      <c r="I168" s="75"/>
      <c r="J168" s="75"/>
      <c r="K168" s="75"/>
      <c r="L168" s="75"/>
      <c r="M168" s="75"/>
      <c r="N168" s="75"/>
      <c r="O168" s="75"/>
      <c r="P168" s="75"/>
      <c r="Q168" s="75"/>
      <c r="R168" s="79"/>
      <c r="S168" s="79"/>
      <c r="T168" s="79"/>
      <c r="U168" s="79"/>
      <c r="V168" s="80"/>
    </row>
    <row r="169" spans="1:22" ht="30" customHeight="1">
      <c r="A169" s="17">
        <v>170</v>
      </c>
      <c r="B169" s="44" t="s">
        <v>198</v>
      </c>
      <c r="C169" s="4" t="s">
        <v>8</v>
      </c>
      <c r="D169" s="5" t="s">
        <v>178</v>
      </c>
      <c r="E169" s="65" t="s">
        <v>179</v>
      </c>
      <c r="F169" s="34" t="s">
        <v>11</v>
      </c>
      <c r="G169" s="73"/>
      <c r="H169" s="75"/>
      <c r="I169" s="75"/>
      <c r="J169" s="75"/>
      <c r="K169" s="75"/>
      <c r="L169" s="75"/>
      <c r="M169" s="75"/>
      <c r="N169" s="75"/>
      <c r="O169" s="75"/>
      <c r="P169" s="75"/>
      <c r="Q169" s="75"/>
      <c r="R169" s="79"/>
      <c r="S169" s="79"/>
      <c r="T169" s="79"/>
      <c r="U169" s="79"/>
      <c r="V169" s="80"/>
    </row>
    <row r="170" spans="1:22" ht="30" customHeight="1">
      <c r="A170" s="17">
        <v>171</v>
      </c>
      <c r="B170" s="44" t="s">
        <v>199</v>
      </c>
      <c r="C170" s="4" t="s">
        <v>8</v>
      </c>
      <c r="D170" s="5" t="s">
        <v>178</v>
      </c>
      <c r="E170" s="65" t="s">
        <v>188</v>
      </c>
      <c r="F170" s="34" t="s">
        <v>11</v>
      </c>
      <c r="G170" s="73"/>
      <c r="H170" s="75"/>
      <c r="I170" s="75"/>
      <c r="J170" s="75"/>
      <c r="K170" s="75"/>
      <c r="L170" s="75"/>
      <c r="M170" s="75"/>
      <c r="N170" s="75"/>
      <c r="O170" s="75"/>
      <c r="P170" s="75"/>
      <c r="Q170" s="75"/>
      <c r="R170" s="79"/>
      <c r="S170" s="79"/>
      <c r="T170" s="79"/>
      <c r="U170" s="79"/>
      <c r="V170" s="80"/>
    </row>
    <row r="171" spans="1:22" ht="30" customHeight="1">
      <c r="A171" s="17">
        <v>172</v>
      </c>
      <c r="B171" s="44" t="s">
        <v>194</v>
      </c>
      <c r="C171" s="4" t="s">
        <v>8</v>
      </c>
      <c r="D171" s="5" t="s">
        <v>178</v>
      </c>
      <c r="E171" s="65" t="s">
        <v>22</v>
      </c>
      <c r="F171" s="34" t="s">
        <v>11</v>
      </c>
      <c r="G171" s="73"/>
      <c r="H171" s="75"/>
      <c r="I171" s="75"/>
      <c r="J171" s="75"/>
      <c r="K171" s="75"/>
      <c r="L171" s="75"/>
      <c r="M171" s="75"/>
      <c r="N171" s="75"/>
      <c r="O171" s="75"/>
      <c r="P171" s="75"/>
      <c r="Q171" s="75"/>
      <c r="R171" s="79"/>
      <c r="S171" s="79"/>
      <c r="T171" s="79"/>
      <c r="U171" s="79"/>
      <c r="V171" s="80"/>
    </row>
    <row r="172" spans="1:22" ht="30" customHeight="1">
      <c r="A172" s="17">
        <v>173</v>
      </c>
      <c r="B172" s="44" t="s">
        <v>194</v>
      </c>
      <c r="C172" s="4" t="s">
        <v>8</v>
      </c>
      <c r="D172" s="5" t="s">
        <v>178</v>
      </c>
      <c r="E172" s="65" t="s">
        <v>22</v>
      </c>
      <c r="F172" s="34" t="s">
        <v>11</v>
      </c>
      <c r="G172" s="73"/>
      <c r="H172" s="75"/>
      <c r="I172" s="75"/>
      <c r="J172" s="75"/>
      <c r="K172" s="75"/>
      <c r="L172" s="75"/>
      <c r="M172" s="75"/>
      <c r="N172" s="75"/>
      <c r="O172" s="75"/>
      <c r="P172" s="75"/>
      <c r="Q172" s="75"/>
      <c r="R172" s="79"/>
      <c r="S172" s="79"/>
      <c r="T172" s="79"/>
      <c r="U172" s="79"/>
      <c r="V172" s="80"/>
    </row>
    <row r="173" spans="1:22" ht="30" customHeight="1">
      <c r="A173" s="17">
        <v>174</v>
      </c>
      <c r="B173" s="44" t="s">
        <v>200</v>
      </c>
      <c r="C173" s="4" t="s">
        <v>8</v>
      </c>
      <c r="D173" s="5" t="s">
        <v>178</v>
      </c>
      <c r="E173" s="65" t="s">
        <v>91</v>
      </c>
      <c r="F173" s="34" t="s">
        <v>11</v>
      </c>
      <c r="G173" s="73"/>
      <c r="H173" s="75"/>
      <c r="I173" s="75"/>
      <c r="J173" s="75"/>
      <c r="K173" s="75"/>
      <c r="L173" s="75"/>
      <c r="M173" s="75"/>
      <c r="N173" s="75"/>
      <c r="O173" s="75"/>
      <c r="P173" s="75"/>
      <c r="Q173" s="75"/>
      <c r="R173" s="79"/>
      <c r="S173" s="79"/>
      <c r="T173" s="79"/>
      <c r="U173" s="79"/>
      <c r="V173" s="80"/>
    </row>
    <row r="174" spans="1:22" ht="30" customHeight="1">
      <c r="A174" s="17">
        <v>175</v>
      </c>
      <c r="B174" s="44" t="s">
        <v>201</v>
      </c>
      <c r="C174" s="4" t="s">
        <v>8</v>
      </c>
      <c r="D174" s="5" t="s">
        <v>178</v>
      </c>
      <c r="E174" s="65" t="s">
        <v>22</v>
      </c>
      <c r="F174" s="34" t="s">
        <v>11</v>
      </c>
      <c r="G174" s="73"/>
      <c r="H174" s="75"/>
      <c r="I174" s="75"/>
      <c r="J174" s="75"/>
      <c r="K174" s="75"/>
      <c r="L174" s="75"/>
      <c r="M174" s="75"/>
      <c r="N174" s="75"/>
      <c r="O174" s="75"/>
      <c r="P174" s="75"/>
      <c r="Q174" s="75"/>
      <c r="R174" s="79"/>
      <c r="S174" s="79"/>
      <c r="T174" s="79"/>
      <c r="U174" s="79"/>
      <c r="V174" s="80"/>
    </row>
    <row r="175" spans="1:22" ht="30" customHeight="1">
      <c r="A175" s="17">
        <v>176</v>
      </c>
      <c r="B175" s="44" t="s">
        <v>202</v>
      </c>
      <c r="C175" s="4" t="s">
        <v>8</v>
      </c>
      <c r="D175" s="5" t="s">
        <v>178</v>
      </c>
      <c r="E175" s="65" t="s">
        <v>22</v>
      </c>
      <c r="F175" s="34" t="s">
        <v>11</v>
      </c>
      <c r="G175" s="73"/>
      <c r="H175" s="75"/>
      <c r="I175" s="75"/>
      <c r="J175" s="75"/>
      <c r="K175" s="75"/>
      <c r="L175" s="75"/>
      <c r="M175" s="75"/>
      <c r="N175" s="75"/>
      <c r="O175" s="75"/>
      <c r="P175" s="75"/>
      <c r="Q175" s="75"/>
      <c r="R175" s="79"/>
      <c r="S175" s="79"/>
      <c r="T175" s="79"/>
      <c r="U175" s="79"/>
      <c r="V175" s="80"/>
    </row>
    <row r="176" spans="1:22" ht="30" customHeight="1">
      <c r="A176" s="17">
        <v>177</v>
      </c>
      <c r="B176" s="44" t="s">
        <v>203</v>
      </c>
      <c r="C176" s="4" t="s">
        <v>8</v>
      </c>
      <c r="D176" s="5" t="s">
        <v>178</v>
      </c>
      <c r="E176" s="65" t="s">
        <v>179</v>
      </c>
      <c r="F176" s="34" t="s">
        <v>11</v>
      </c>
      <c r="G176" s="73"/>
      <c r="H176" s="75"/>
      <c r="I176" s="75"/>
      <c r="J176" s="75"/>
      <c r="K176" s="75"/>
      <c r="L176" s="75"/>
      <c r="M176" s="75"/>
      <c r="N176" s="75"/>
      <c r="O176" s="75"/>
      <c r="P176" s="75"/>
      <c r="Q176" s="75"/>
      <c r="R176" s="79"/>
      <c r="S176" s="79"/>
      <c r="T176" s="79"/>
      <c r="U176" s="79"/>
      <c r="V176" s="80"/>
    </row>
    <row r="177" spans="1:22" ht="30" customHeight="1">
      <c r="A177" s="17">
        <v>178</v>
      </c>
      <c r="B177" s="44" t="s">
        <v>204</v>
      </c>
      <c r="C177" s="4" t="s">
        <v>8</v>
      </c>
      <c r="D177" s="5" t="s">
        <v>178</v>
      </c>
      <c r="E177" s="65" t="s">
        <v>179</v>
      </c>
      <c r="F177" s="34" t="s">
        <v>11</v>
      </c>
      <c r="G177" s="73"/>
      <c r="H177" s="75"/>
      <c r="I177" s="75"/>
      <c r="J177" s="75"/>
      <c r="K177" s="75"/>
      <c r="L177" s="75"/>
      <c r="M177" s="75"/>
      <c r="N177" s="75"/>
      <c r="O177" s="75"/>
      <c r="P177" s="75"/>
      <c r="Q177" s="75"/>
      <c r="R177" s="79"/>
      <c r="S177" s="79"/>
      <c r="T177" s="79"/>
      <c r="U177" s="79"/>
      <c r="V177" s="80"/>
    </row>
    <row r="178" spans="1:22" ht="30" customHeight="1">
      <c r="A178" s="17">
        <v>179</v>
      </c>
      <c r="B178" s="44" t="s">
        <v>205</v>
      </c>
      <c r="C178" s="4" t="s">
        <v>8</v>
      </c>
      <c r="D178" s="5" t="s">
        <v>178</v>
      </c>
      <c r="E178" s="65" t="s">
        <v>14</v>
      </c>
      <c r="F178" s="34" t="s">
        <v>11</v>
      </c>
      <c r="G178" s="73"/>
      <c r="H178" s="75"/>
      <c r="I178" s="75"/>
      <c r="J178" s="75"/>
      <c r="K178" s="75"/>
      <c r="L178" s="75"/>
      <c r="M178" s="75"/>
      <c r="N178" s="75"/>
      <c r="O178" s="75"/>
      <c r="P178" s="75"/>
      <c r="Q178" s="75"/>
      <c r="R178" s="79"/>
      <c r="S178" s="79"/>
      <c r="T178" s="79"/>
      <c r="U178" s="79"/>
      <c r="V178" s="80"/>
    </row>
    <row r="179" spans="1:22" ht="30" customHeight="1">
      <c r="A179" s="17">
        <v>180</v>
      </c>
      <c r="B179" s="44" t="s">
        <v>206</v>
      </c>
      <c r="C179" s="4" t="s">
        <v>8</v>
      </c>
      <c r="D179" s="5" t="s">
        <v>178</v>
      </c>
      <c r="E179" s="65" t="s">
        <v>104</v>
      </c>
      <c r="F179" s="34" t="s">
        <v>11</v>
      </c>
      <c r="G179" s="73"/>
      <c r="H179" s="75"/>
      <c r="I179" s="75"/>
      <c r="J179" s="75"/>
      <c r="K179" s="75"/>
      <c r="L179" s="75"/>
      <c r="M179" s="75"/>
      <c r="N179" s="75"/>
      <c r="O179" s="75"/>
      <c r="P179" s="75"/>
      <c r="Q179" s="75"/>
      <c r="R179" s="79"/>
      <c r="S179" s="79"/>
      <c r="T179" s="79"/>
      <c r="U179" s="79"/>
      <c r="V179" s="80"/>
    </row>
    <row r="180" spans="1:22" ht="30" customHeight="1">
      <c r="A180" s="17">
        <v>181</v>
      </c>
      <c r="B180" s="44" t="s">
        <v>207</v>
      </c>
      <c r="C180" s="4" t="s">
        <v>8</v>
      </c>
      <c r="D180" s="5" t="s">
        <v>178</v>
      </c>
      <c r="E180" s="65" t="s">
        <v>179</v>
      </c>
      <c r="F180" s="34" t="s">
        <v>11</v>
      </c>
      <c r="G180" s="73"/>
      <c r="H180" s="75"/>
      <c r="I180" s="75"/>
      <c r="J180" s="75"/>
      <c r="K180" s="75"/>
      <c r="L180" s="75"/>
      <c r="M180" s="75"/>
      <c r="N180" s="75"/>
      <c r="O180" s="75"/>
      <c r="P180" s="75"/>
      <c r="Q180" s="75"/>
      <c r="R180" s="79"/>
      <c r="S180" s="79"/>
      <c r="T180" s="79"/>
      <c r="U180" s="79"/>
      <c r="V180" s="80"/>
    </row>
    <row r="181" spans="1:22" ht="30" customHeight="1">
      <c r="A181" s="17">
        <v>182</v>
      </c>
      <c r="B181" s="44" t="s">
        <v>194</v>
      </c>
      <c r="C181" s="4" t="s">
        <v>8</v>
      </c>
      <c r="D181" s="5" t="s">
        <v>178</v>
      </c>
      <c r="E181" s="65" t="s">
        <v>22</v>
      </c>
      <c r="F181" s="34" t="s">
        <v>11</v>
      </c>
      <c r="G181" s="73"/>
      <c r="H181" s="75"/>
      <c r="I181" s="75"/>
      <c r="J181" s="75"/>
      <c r="K181" s="75"/>
      <c r="L181" s="75"/>
      <c r="M181" s="75"/>
      <c r="N181" s="75"/>
      <c r="O181" s="75"/>
      <c r="P181" s="75"/>
      <c r="Q181" s="75"/>
      <c r="R181" s="79"/>
      <c r="S181" s="79"/>
      <c r="T181" s="79"/>
      <c r="U181" s="79"/>
      <c r="V181" s="80"/>
    </row>
    <row r="182" spans="1:22" ht="30" customHeight="1">
      <c r="A182" s="17">
        <v>183</v>
      </c>
      <c r="B182" s="44" t="s">
        <v>208</v>
      </c>
      <c r="C182" s="4" t="s">
        <v>8</v>
      </c>
      <c r="D182" s="5" t="s">
        <v>178</v>
      </c>
      <c r="E182" s="65" t="s">
        <v>22</v>
      </c>
      <c r="F182" s="34" t="s">
        <v>11</v>
      </c>
      <c r="G182" s="73"/>
      <c r="H182" s="75"/>
      <c r="I182" s="75"/>
      <c r="J182" s="75"/>
      <c r="K182" s="75"/>
      <c r="L182" s="75"/>
      <c r="M182" s="75"/>
      <c r="N182" s="75"/>
      <c r="O182" s="75"/>
      <c r="P182" s="75"/>
      <c r="Q182" s="75"/>
      <c r="R182" s="79"/>
      <c r="S182" s="79"/>
      <c r="T182" s="79"/>
      <c r="U182" s="79"/>
      <c r="V182" s="80"/>
    </row>
    <row r="183" spans="1:22" ht="30" customHeight="1">
      <c r="A183" s="17">
        <v>184</v>
      </c>
      <c r="B183" s="44" t="s">
        <v>209</v>
      </c>
      <c r="C183" s="4" t="s">
        <v>8</v>
      </c>
      <c r="D183" s="5" t="s">
        <v>178</v>
      </c>
      <c r="E183" s="65" t="s">
        <v>179</v>
      </c>
      <c r="F183" s="34" t="s">
        <v>11</v>
      </c>
      <c r="G183" s="73"/>
      <c r="H183" s="75"/>
      <c r="I183" s="75"/>
      <c r="J183" s="75"/>
      <c r="K183" s="75"/>
      <c r="L183" s="75"/>
      <c r="M183" s="75"/>
      <c r="N183" s="75"/>
      <c r="O183" s="75"/>
      <c r="P183" s="75"/>
      <c r="Q183" s="75"/>
      <c r="R183" s="79"/>
      <c r="S183" s="79"/>
      <c r="T183" s="79"/>
      <c r="U183" s="79"/>
      <c r="V183" s="80"/>
    </row>
    <row r="184" spans="1:22" ht="30" customHeight="1">
      <c r="A184" s="17">
        <v>185</v>
      </c>
      <c r="B184" s="44" t="s">
        <v>191</v>
      </c>
      <c r="C184" s="4" t="s">
        <v>8</v>
      </c>
      <c r="D184" s="5" t="s">
        <v>178</v>
      </c>
      <c r="E184" s="65" t="s">
        <v>14</v>
      </c>
      <c r="F184" s="34" t="s">
        <v>11</v>
      </c>
      <c r="G184" s="73"/>
      <c r="H184" s="75"/>
      <c r="I184" s="75"/>
      <c r="J184" s="75"/>
      <c r="K184" s="75"/>
      <c r="L184" s="75"/>
      <c r="M184" s="75"/>
      <c r="N184" s="75"/>
      <c r="O184" s="75"/>
      <c r="P184" s="75"/>
      <c r="Q184" s="75"/>
      <c r="R184" s="79"/>
      <c r="S184" s="79"/>
      <c r="T184" s="79"/>
      <c r="U184" s="79"/>
      <c r="V184" s="80"/>
    </row>
    <row r="185" spans="1:22" ht="30" customHeight="1">
      <c r="A185" s="17">
        <v>186</v>
      </c>
      <c r="B185" s="44" t="s">
        <v>210</v>
      </c>
      <c r="C185" s="4" t="s">
        <v>8</v>
      </c>
      <c r="D185" s="5" t="s">
        <v>178</v>
      </c>
      <c r="E185" s="65" t="s">
        <v>14</v>
      </c>
      <c r="F185" s="34" t="s">
        <v>11</v>
      </c>
      <c r="G185" s="73"/>
      <c r="H185" s="75"/>
      <c r="I185" s="75"/>
      <c r="J185" s="75"/>
      <c r="K185" s="75"/>
      <c r="L185" s="75"/>
      <c r="M185" s="75"/>
      <c r="N185" s="75"/>
      <c r="O185" s="75"/>
      <c r="P185" s="75"/>
      <c r="Q185" s="75"/>
      <c r="R185" s="79"/>
      <c r="S185" s="79"/>
      <c r="T185" s="79"/>
      <c r="U185" s="79"/>
      <c r="V185" s="80"/>
    </row>
    <row r="186" spans="1:22" ht="30" customHeight="1">
      <c r="A186" s="17">
        <v>187</v>
      </c>
      <c r="B186" s="44" t="s">
        <v>211</v>
      </c>
      <c r="C186" s="4" t="s">
        <v>8</v>
      </c>
      <c r="D186" s="5" t="s">
        <v>178</v>
      </c>
      <c r="E186" s="65" t="s">
        <v>14</v>
      </c>
      <c r="F186" s="34" t="s">
        <v>11</v>
      </c>
      <c r="G186" s="73"/>
      <c r="H186" s="75"/>
      <c r="I186" s="75"/>
      <c r="J186" s="75"/>
      <c r="K186" s="75"/>
      <c r="L186" s="75"/>
      <c r="M186" s="75"/>
      <c r="N186" s="75"/>
      <c r="O186" s="75"/>
      <c r="P186" s="75"/>
      <c r="Q186" s="75"/>
      <c r="R186" s="79"/>
      <c r="S186" s="79"/>
      <c r="T186" s="79"/>
      <c r="U186" s="79"/>
      <c r="V186" s="80"/>
    </row>
    <row r="187" spans="1:22" ht="30" customHeight="1">
      <c r="A187" s="17">
        <v>188</v>
      </c>
      <c r="B187" s="44" t="s">
        <v>212</v>
      </c>
      <c r="C187" s="4" t="s">
        <v>8</v>
      </c>
      <c r="D187" s="5" t="s">
        <v>178</v>
      </c>
      <c r="E187" s="65" t="s">
        <v>14</v>
      </c>
      <c r="F187" s="34" t="s">
        <v>11</v>
      </c>
      <c r="G187" s="73"/>
      <c r="H187" s="75"/>
      <c r="I187" s="75"/>
      <c r="J187" s="75"/>
      <c r="K187" s="75"/>
      <c r="L187" s="75"/>
      <c r="M187" s="75"/>
      <c r="N187" s="75"/>
      <c r="O187" s="75"/>
      <c r="P187" s="75"/>
      <c r="Q187" s="75"/>
      <c r="R187" s="79"/>
      <c r="S187" s="79"/>
      <c r="T187" s="79"/>
      <c r="U187" s="79"/>
      <c r="V187" s="80"/>
    </row>
    <row r="188" spans="1:22" ht="30" customHeight="1">
      <c r="A188" s="17">
        <v>189</v>
      </c>
      <c r="B188" s="44" t="s">
        <v>213</v>
      </c>
      <c r="C188" s="4" t="s">
        <v>8</v>
      </c>
      <c r="D188" s="5" t="s">
        <v>178</v>
      </c>
      <c r="E188" s="65" t="s">
        <v>14</v>
      </c>
      <c r="F188" s="34" t="s">
        <v>11</v>
      </c>
      <c r="G188" s="73"/>
      <c r="H188" s="75"/>
      <c r="I188" s="75"/>
      <c r="J188" s="75"/>
      <c r="K188" s="75"/>
      <c r="L188" s="75"/>
      <c r="M188" s="75"/>
      <c r="N188" s="75"/>
      <c r="O188" s="75"/>
      <c r="P188" s="75"/>
      <c r="Q188" s="75"/>
      <c r="R188" s="79"/>
      <c r="S188" s="79"/>
      <c r="T188" s="79"/>
      <c r="U188" s="79"/>
      <c r="V188" s="80"/>
    </row>
    <row r="189" spans="1:22" ht="30" customHeight="1">
      <c r="A189" s="17">
        <v>190</v>
      </c>
      <c r="B189" s="44" t="s">
        <v>214</v>
      </c>
      <c r="C189" s="4" t="s">
        <v>8</v>
      </c>
      <c r="D189" s="5" t="s">
        <v>178</v>
      </c>
      <c r="E189" s="65" t="s">
        <v>14</v>
      </c>
      <c r="F189" s="34" t="s">
        <v>11</v>
      </c>
      <c r="G189" s="73"/>
      <c r="H189" s="75"/>
      <c r="I189" s="75"/>
      <c r="J189" s="75"/>
      <c r="K189" s="75"/>
      <c r="L189" s="75"/>
      <c r="M189" s="75"/>
      <c r="N189" s="75"/>
      <c r="O189" s="75"/>
      <c r="P189" s="75"/>
      <c r="Q189" s="75"/>
      <c r="R189" s="79"/>
      <c r="S189" s="79"/>
      <c r="T189" s="79"/>
      <c r="U189" s="79"/>
      <c r="V189" s="80"/>
    </row>
    <row r="190" spans="1:22" ht="30" customHeight="1">
      <c r="A190" s="17">
        <v>191</v>
      </c>
      <c r="B190" s="44" t="s">
        <v>215</v>
      </c>
      <c r="C190" s="4" t="s">
        <v>8</v>
      </c>
      <c r="D190" s="5" t="s">
        <v>178</v>
      </c>
      <c r="E190" s="65" t="s">
        <v>179</v>
      </c>
      <c r="F190" s="34" t="s">
        <v>11</v>
      </c>
      <c r="G190" s="73"/>
      <c r="H190" s="75"/>
      <c r="I190" s="75"/>
      <c r="J190" s="75"/>
      <c r="K190" s="75"/>
      <c r="L190" s="75"/>
      <c r="M190" s="75"/>
      <c r="N190" s="75"/>
      <c r="O190" s="75"/>
      <c r="P190" s="75"/>
      <c r="Q190" s="75"/>
      <c r="R190" s="79"/>
      <c r="S190" s="79"/>
      <c r="T190" s="79"/>
      <c r="U190" s="79"/>
      <c r="V190" s="80"/>
    </row>
    <row r="191" spans="1:22" ht="30" customHeight="1">
      <c r="A191" s="17">
        <v>192</v>
      </c>
      <c r="B191" s="44" t="s">
        <v>216</v>
      </c>
      <c r="C191" s="4" t="s">
        <v>8</v>
      </c>
      <c r="D191" s="5" t="s">
        <v>178</v>
      </c>
      <c r="E191" s="65" t="s">
        <v>179</v>
      </c>
      <c r="F191" s="34" t="s">
        <v>11</v>
      </c>
      <c r="G191" s="73"/>
      <c r="H191" s="75"/>
      <c r="I191" s="75"/>
      <c r="J191" s="75"/>
      <c r="K191" s="75"/>
      <c r="L191" s="75"/>
      <c r="M191" s="75"/>
      <c r="N191" s="75"/>
      <c r="O191" s="75"/>
      <c r="P191" s="75"/>
      <c r="Q191" s="75"/>
      <c r="R191" s="79"/>
      <c r="S191" s="79"/>
      <c r="T191" s="79"/>
      <c r="U191" s="79"/>
      <c r="V191" s="80"/>
    </row>
    <row r="192" spans="1:22" ht="30" customHeight="1">
      <c r="A192" s="17">
        <v>193</v>
      </c>
      <c r="B192" s="44" t="s">
        <v>201</v>
      </c>
      <c r="C192" s="4" t="s">
        <v>8</v>
      </c>
      <c r="D192" s="5" t="s">
        <v>178</v>
      </c>
      <c r="E192" s="65" t="s">
        <v>22</v>
      </c>
      <c r="F192" s="34" t="s">
        <v>11</v>
      </c>
      <c r="G192" s="73"/>
      <c r="H192" s="75"/>
      <c r="I192" s="75"/>
      <c r="J192" s="75"/>
      <c r="K192" s="75"/>
      <c r="L192" s="75"/>
      <c r="M192" s="75"/>
      <c r="N192" s="75"/>
      <c r="O192" s="75"/>
      <c r="P192" s="75"/>
      <c r="Q192" s="75"/>
      <c r="R192" s="79"/>
      <c r="S192" s="79"/>
      <c r="T192" s="79"/>
      <c r="U192" s="79"/>
      <c r="V192" s="80"/>
    </row>
    <row r="193" spans="1:22" ht="21" customHeight="1">
      <c r="A193" s="17">
        <v>194</v>
      </c>
      <c r="B193" s="44" t="s">
        <v>217</v>
      </c>
      <c r="C193" s="4" t="s">
        <v>8</v>
      </c>
      <c r="D193" s="5" t="s">
        <v>178</v>
      </c>
      <c r="E193" s="65" t="s">
        <v>22</v>
      </c>
      <c r="F193" s="34" t="s">
        <v>11</v>
      </c>
      <c r="G193" s="73"/>
      <c r="H193" s="75"/>
      <c r="I193" s="75"/>
      <c r="J193" s="75"/>
      <c r="K193" s="75"/>
      <c r="L193" s="75"/>
      <c r="M193" s="75"/>
      <c r="N193" s="75"/>
      <c r="O193" s="75"/>
      <c r="P193" s="75"/>
      <c r="Q193" s="75"/>
      <c r="R193" s="79"/>
      <c r="S193" s="79"/>
      <c r="T193" s="79"/>
      <c r="U193" s="79"/>
      <c r="V193" s="80"/>
    </row>
    <row r="194" spans="1:22" ht="30" customHeight="1">
      <c r="A194" s="17">
        <v>195</v>
      </c>
      <c r="B194" s="44" t="s">
        <v>218</v>
      </c>
      <c r="C194" s="4" t="s">
        <v>8</v>
      </c>
      <c r="D194" s="5" t="s">
        <v>178</v>
      </c>
      <c r="E194" s="65" t="s">
        <v>179</v>
      </c>
      <c r="F194" s="34" t="s">
        <v>11</v>
      </c>
      <c r="G194" s="73"/>
      <c r="H194" s="75"/>
      <c r="I194" s="75"/>
      <c r="J194" s="75"/>
      <c r="K194" s="75"/>
      <c r="L194" s="75"/>
      <c r="M194" s="75"/>
      <c r="N194" s="75"/>
      <c r="O194" s="75"/>
      <c r="P194" s="75"/>
      <c r="Q194" s="75"/>
      <c r="R194" s="79"/>
      <c r="S194" s="79"/>
      <c r="T194" s="79"/>
      <c r="U194" s="79"/>
      <c r="V194" s="80"/>
    </row>
    <row r="195" spans="1:22" ht="30" customHeight="1">
      <c r="A195" s="17">
        <v>196</v>
      </c>
      <c r="B195" s="44" t="s">
        <v>219</v>
      </c>
      <c r="C195" s="4" t="s">
        <v>8</v>
      </c>
      <c r="D195" s="5" t="s">
        <v>178</v>
      </c>
      <c r="E195" s="65" t="s">
        <v>179</v>
      </c>
      <c r="F195" s="34" t="s">
        <v>11</v>
      </c>
      <c r="G195" s="73"/>
      <c r="H195" s="75"/>
      <c r="I195" s="75"/>
      <c r="J195" s="75"/>
      <c r="K195" s="75"/>
      <c r="L195" s="75"/>
      <c r="M195" s="75"/>
      <c r="N195" s="75"/>
      <c r="O195" s="75"/>
      <c r="P195" s="75"/>
      <c r="Q195" s="75"/>
      <c r="R195" s="79"/>
      <c r="S195" s="79"/>
      <c r="T195" s="79"/>
      <c r="U195" s="79"/>
      <c r="V195" s="80"/>
    </row>
    <row r="196" spans="1:22" ht="30" customHeight="1">
      <c r="A196" s="17">
        <v>197</v>
      </c>
      <c r="B196" s="44" t="s">
        <v>220</v>
      </c>
      <c r="C196" s="4" t="s">
        <v>8</v>
      </c>
      <c r="D196" s="5" t="s">
        <v>178</v>
      </c>
      <c r="E196" s="65" t="s">
        <v>179</v>
      </c>
      <c r="F196" s="34" t="s">
        <v>11</v>
      </c>
      <c r="G196" s="73"/>
      <c r="H196" s="75"/>
      <c r="I196" s="75"/>
      <c r="J196" s="75"/>
      <c r="K196" s="75"/>
      <c r="L196" s="75"/>
      <c r="M196" s="75"/>
      <c r="N196" s="75"/>
      <c r="O196" s="75"/>
      <c r="P196" s="75"/>
      <c r="Q196" s="75"/>
      <c r="R196" s="79"/>
      <c r="S196" s="79"/>
      <c r="T196" s="79"/>
      <c r="U196" s="79"/>
      <c r="V196" s="80"/>
    </row>
    <row r="197" spans="1:22" ht="30" customHeight="1">
      <c r="A197" s="17">
        <v>198</v>
      </c>
      <c r="B197" s="44" t="s">
        <v>201</v>
      </c>
      <c r="C197" s="4" t="s">
        <v>8</v>
      </c>
      <c r="D197" s="5" t="s">
        <v>178</v>
      </c>
      <c r="E197" s="65" t="s">
        <v>22</v>
      </c>
      <c r="F197" s="34" t="s">
        <v>11</v>
      </c>
      <c r="G197" s="73"/>
      <c r="H197" s="75"/>
      <c r="I197" s="75"/>
      <c r="J197" s="75"/>
      <c r="K197" s="75"/>
      <c r="L197" s="75"/>
      <c r="M197" s="75"/>
      <c r="N197" s="75"/>
      <c r="O197" s="75"/>
      <c r="P197" s="75"/>
      <c r="Q197" s="75"/>
      <c r="R197" s="79"/>
      <c r="S197" s="79"/>
      <c r="T197" s="79"/>
      <c r="U197" s="79"/>
      <c r="V197" s="80"/>
    </row>
    <row r="198" spans="1:22" ht="30" customHeight="1">
      <c r="A198" s="17">
        <v>199</v>
      </c>
      <c r="B198" s="44" t="s">
        <v>221</v>
      </c>
      <c r="C198" s="4" t="s">
        <v>85</v>
      </c>
      <c r="D198" s="5" t="s">
        <v>178</v>
      </c>
      <c r="E198" s="65" t="s">
        <v>14</v>
      </c>
      <c r="F198" s="34" t="s">
        <v>11</v>
      </c>
      <c r="G198" s="73"/>
      <c r="H198" s="75"/>
      <c r="I198" s="75"/>
      <c r="J198" s="75"/>
      <c r="K198" s="75"/>
      <c r="L198" s="75"/>
      <c r="M198" s="75"/>
      <c r="N198" s="75"/>
      <c r="O198" s="75"/>
      <c r="P198" s="75"/>
      <c r="Q198" s="75"/>
      <c r="R198" s="79"/>
      <c r="S198" s="79"/>
      <c r="T198" s="79"/>
      <c r="U198" s="79"/>
      <c r="V198" s="80"/>
    </row>
    <row r="199" spans="1:22" ht="30" customHeight="1">
      <c r="A199" s="17">
        <v>200</v>
      </c>
      <c r="B199" s="44" t="s">
        <v>222</v>
      </c>
      <c r="C199" s="4" t="s">
        <v>85</v>
      </c>
      <c r="D199" s="5" t="s">
        <v>178</v>
      </c>
      <c r="E199" s="65" t="s">
        <v>22</v>
      </c>
      <c r="F199" s="34" t="s">
        <v>11</v>
      </c>
      <c r="G199" s="73"/>
      <c r="H199" s="75"/>
      <c r="I199" s="75"/>
      <c r="J199" s="75"/>
      <c r="K199" s="75"/>
      <c r="L199" s="75"/>
      <c r="M199" s="75"/>
      <c r="N199" s="75"/>
      <c r="O199" s="75"/>
      <c r="P199" s="75"/>
      <c r="Q199" s="75"/>
      <c r="R199" s="79"/>
      <c r="S199" s="79"/>
      <c r="T199" s="79"/>
      <c r="U199" s="79"/>
      <c r="V199" s="80"/>
    </row>
    <row r="200" spans="1:22" ht="30" customHeight="1">
      <c r="A200" s="17">
        <v>201</v>
      </c>
      <c r="B200" s="44" t="s">
        <v>223</v>
      </c>
      <c r="C200" s="4" t="s">
        <v>85</v>
      </c>
      <c r="D200" s="5" t="s">
        <v>178</v>
      </c>
      <c r="E200" s="65" t="s">
        <v>22</v>
      </c>
      <c r="F200" s="34" t="s">
        <v>11</v>
      </c>
      <c r="G200" s="73"/>
      <c r="H200" s="75"/>
      <c r="I200" s="75"/>
      <c r="J200" s="75"/>
      <c r="K200" s="75"/>
      <c r="L200" s="75"/>
      <c r="M200" s="75"/>
      <c r="N200" s="75"/>
      <c r="O200" s="75"/>
      <c r="P200" s="75"/>
      <c r="Q200" s="75"/>
      <c r="R200" s="79"/>
      <c r="S200" s="79"/>
      <c r="T200" s="79"/>
      <c r="U200" s="79"/>
      <c r="V200" s="80"/>
    </row>
    <row r="201" spans="1:22" ht="30" customHeight="1">
      <c r="A201" s="17">
        <v>202</v>
      </c>
      <c r="B201" s="44" t="s">
        <v>214</v>
      </c>
      <c r="C201" s="4" t="s">
        <v>85</v>
      </c>
      <c r="D201" s="5" t="s">
        <v>178</v>
      </c>
      <c r="E201" s="65" t="s">
        <v>14</v>
      </c>
      <c r="F201" s="34" t="s">
        <v>11</v>
      </c>
      <c r="G201" s="73"/>
      <c r="H201" s="75"/>
      <c r="I201" s="75"/>
      <c r="J201" s="75"/>
      <c r="K201" s="75"/>
      <c r="L201" s="75"/>
      <c r="M201" s="75"/>
      <c r="N201" s="75"/>
      <c r="O201" s="75"/>
      <c r="P201" s="75"/>
      <c r="Q201" s="75"/>
      <c r="R201" s="79"/>
      <c r="S201" s="79"/>
      <c r="T201" s="79"/>
      <c r="U201" s="79"/>
      <c r="V201" s="80"/>
    </row>
    <row r="202" spans="1:22" ht="30" customHeight="1">
      <c r="A202" s="17">
        <v>203</v>
      </c>
      <c r="B202" s="44" t="s">
        <v>224</v>
      </c>
      <c r="C202" s="4" t="s">
        <v>85</v>
      </c>
      <c r="D202" s="5" t="s">
        <v>178</v>
      </c>
      <c r="E202" s="65" t="s">
        <v>22</v>
      </c>
      <c r="F202" s="34" t="s">
        <v>11</v>
      </c>
      <c r="G202" s="73"/>
      <c r="H202" s="75"/>
      <c r="I202" s="75"/>
      <c r="J202" s="75"/>
      <c r="K202" s="75"/>
      <c r="L202" s="75"/>
      <c r="M202" s="75"/>
      <c r="N202" s="75"/>
      <c r="O202" s="75"/>
      <c r="P202" s="75"/>
      <c r="Q202" s="75"/>
      <c r="R202" s="79"/>
      <c r="S202" s="79"/>
      <c r="T202" s="79"/>
      <c r="U202" s="79"/>
      <c r="V202" s="80"/>
    </row>
    <row r="203" spans="1:22" ht="30" customHeight="1">
      <c r="A203" s="17">
        <v>204</v>
      </c>
      <c r="B203" s="44" t="s">
        <v>205</v>
      </c>
      <c r="C203" s="4" t="s">
        <v>119</v>
      </c>
      <c r="D203" s="5" t="s">
        <v>178</v>
      </c>
      <c r="E203" s="65" t="s">
        <v>14</v>
      </c>
      <c r="F203" s="34" t="s">
        <v>11</v>
      </c>
      <c r="G203" s="73"/>
      <c r="H203" s="75"/>
      <c r="I203" s="75"/>
      <c r="J203" s="75"/>
      <c r="K203" s="75"/>
      <c r="L203" s="75"/>
      <c r="M203" s="75"/>
      <c r="N203" s="75"/>
      <c r="O203" s="75"/>
      <c r="P203" s="75"/>
      <c r="Q203" s="75"/>
      <c r="R203" s="79"/>
      <c r="S203" s="79"/>
      <c r="T203" s="79"/>
      <c r="U203" s="79"/>
      <c r="V203" s="80"/>
    </row>
    <row r="204" spans="1:22" ht="30" customHeight="1">
      <c r="A204" s="17">
        <v>205</v>
      </c>
      <c r="B204" s="44" t="s">
        <v>225</v>
      </c>
      <c r="C204" s="4" t="s">
        <v>119</v>
      </c>
      <c r="D204" s="5" t="s">
        <v>178</v>
      </c>
      <c r="E204" s="65" t="s">
        <v>179</v>
      </c>
      <c r="F204" s="34" t="s">
        <v>11</v>
      </c>
      <c r="G204" s="73"/>
      <c r="H204" s="75"/>
      <c r="I204" s="75"/>
      <c r="J204" s="75"/>
      <c r="K204" s="75"/>
      <c r="L204" s="75"/>
      <c r="M204" s="75"/>
      <c r="N204" s="75"/>
      <c r="O204" s="75"/>
      <c r="P204" s="75"/>
      <c r="Q204" s="75"/>
      <c r="R204" s="79"/>
      <c r="S204" s="79"/>
      <c r="T204" s="79"/>
      <c r="U204" s="79"/>
      <c r="V204" s="80"/>
    </row>
    <row r="205" spans="1:22" ht="30" customHeight="1">
      <c r="A205" s="17">
        <v>206</v>
      </c>
      <c r="B205" s="44" t="s">
        <v>201</v>
      </c>
      <c r="C205" s="4" t="s">
        <v>119</v>
      </c>
      <c r="D205" s="5" t="s">
        <v>178</v>
      </c>
      <c r="E205" s="65" t="s">
        <v>22</v>
      </c>
      <c r="F205" s="34" t="s">
        <v>11</v>
      </c>
      <c r="G205" s="73"/>
      <c r="H205" s="75"/>
      <c r="I205" s="75"/>
      <c r="J205" s="75"/>
      <c r="K205" s="75"/>
      <c r="L205" s="75"/>
      <c r="M205" s="75"/>
      <c r="N205" s="75"/>
      <c r="O205" s="75"/>
      <c r="P205" s="75"/>
      <c r="Q205" s="75"/>
      <c r="R205" s="79"/>
      <c r="S205" s="79"/>
      <c r="T205" s="79"/>
      <c r="U205" s="79"/>
      <c r="V205" s="80"/>
    </row>
    <row r="206" spans="1:22" ht="30" customHeight="1">
      <c r="A206" s="17">
        <v>207</v>
      </c>
      <c r="B206" s="44" t="s">
        <v>226</v>
      </c>
      <c r="C206" s="4" t="s">
        <v>119</v>
      </c>
      <c r="D206" s="5" t="s">
        <v>178</v>
      </c>
      <c r="E206" s="65" t="s">
        <v>14</v>
      </c>
      <c r="F206" s="34" t="s">
        <v>11</v>
      </c>
      <c r="G206" s="73"/>
      <c r="H206" s="75"/>
      <c r="I206" s="75"/>
      <c r="J206" s="75"/>
      <c r="K206" s="75"/>
      <c r="L206" s="75"/>
      <c r="M206" s="75"/>
      <c r="N206" s="75"/>
      <c r="O206" s="75"/>
      <c r="P206" s="75"/>
      <c r="Q206" s="75"/>
      <c r="R206" s="79"/>
      <c r="S206" s="79"/>
      <c r="T206" s="79"/>
      <c r="U206" s="79"/>
      <c r="V206" s="80"/>
    </row>
    <row r="207" spans="1:22" ht="30" customHeight="1">
      <c r="A207" s="17">
        <v>208</v>
      </c>
      <c r="B207" s="44" t="s">
        <v>227</v>
      </c>
      <c r="C207" s="4" t="s">
        <v>119</v>
      </c>
      <c r="D207" s="5" t="s">
        <v>178</v>
      </c>
      <c r="E207" s="65" t="s">
        <v>22</v>
      </c>
      <c r="F207" s="34" t="s">
        <v>11</v>
      </c>
      <c r="G207" s="73"/>
      <c r="H207" s="75"/>
      <c r="I207" s="75"/>
      <c r="J207" s="75"/>
      <c r="K207" s="75"/>
      <c r="L207" s="75"/>
      <c r="M207" s="75"/>
      <c r="N207" s="75"/>
      <c r="O207" s="75"/>
      <c r="P207" s="75"/>
      <c r="Q207" s="75"/>
      <c r="R207" s="79"/>
      <c r="S207" s="79"/>
      <c r="T207" s="79"/>
      <c r="U207" s="79"/>
      <c r="V207" s="80"/>
    </row>
    <row r="208" spans="1:22" ht="30" customHeight="1">
      <c r="A208" s="17">
        <v>209</v>
      </c>
      <c r="B208" s="44" t="s">
        <v>228</v>
      </c>
      <c r="C208" s="4" t="s">
        <v>119</v>
      </c>
      <c r="D208" s="5" t="s">
        <v>178</v>
      </c>
      <c r="E208" s="65" t="s">
        <v>22</v>
      </c>
      <c r="F208" s="34" t="s">
        <v>11</v>
      </c>
      <c r="G208" s="73"/>
      <c r="H208" s="75"/>
      <c r="I208" s="75"/>
      <c r="J208" s="75"/>
      <c r="K208" s="75"/>
      <c r="L208" s="75"/>
      <c r="M208" s="75"/>
      <c r="N208" s="75"/>
      <c r="O208" s="75"/>
      <c r="P208" s="75"/>
      <c r="Q208" s="75"/>
      <c r="R208" s="79"/>
      <c r="S208" s="79"/>
      <c r="T208" s="79"/>
      <c r="U208" s="79"/>
      <c r="V208" s="80"/>
    </row>
    <row r="209" spans="1:22" ht="30" customHeight="1">
      <c r="A209" s="17">
        <v>210</v>
      </c>
      <c r="B209" s="44" t="s">
        <v>229</v>
      </c>
      <c r="C209" s="4" t="s">
        <v>119</v>
      </c>
      <c r="D209" s="5" t="s">
        <v>178</v>
      </c>
      <c r="E209" s="65" t="s">
        <v>22</v>
      </c>
      <c r="F209" s="34" t="s">
        <v>11</v>
      </c>
      <c r="G209" s="73"/>
      <c r="H209" s="75"/>
      <c r="I209" s="75"/>
      <c r="J209" s="75"/>
      <c r="K209" s="75"/>
      <c r="L209" s="75"/>
      <c r="M209" s="75"/>
      <c r="N209" s="75"/>
      <c r="O209" s="75"/>
      <c r="P209" s="75"/>
      <c r="Q209" s="75"/>
      <c r="R209" s="79"/>
      <c r="S209" s="79"/>
      <c r="T209" s="79"/>
      <c r="U209" s="79"/>
      <c r="V209" s="80"/>
    </row>
    <row r="210" spans="1:22" ht="30" customHeight="1">
      <c r="A210" s="17">
        <v>211</v>
      </c>
      <c r="B210" s="44" t="s">
        <v>230</v>
      </c>
      <c r="C210" s="4" t="s">
        <v>119</v>
      </c>
      <c r="D210" s="5" t="s">
        <v>178</v>
      </c>
      <c r="E210" s="65" t="s">
        <v>22</v>
      </c>
      <c r="F210" s="34" t="s">
        <v>11</v>
      </c>
      <c r="G210" s="73"/>
      <c r="H210" s="75"/>
      <c r="I210" s="75"/>
      <c r="J210" s="75"/>
      <c r="K210" s="75"/>
      <c r="L210" s="75"/>
      <c r="M210" s="75"/>
      <c r="N210" s="75"/>
      <c r="O210" s="75"/>
      <c r="P210" s="75"/>
      <c r="Q210" s="75"/>
      <c r="R210" s="79"/>
      <c r="S210" s="79"/>
      <c r="T210" s="79"/>
      <c r="U210" s="79"/>
      <c r="V210" s="80"/>
    </row>
    <row r="211" spans="1:22" ht="30" customHeight="1">
      <c r="A211" s="17">
        <v>212</v>
      </c>
      <c r="B211" s="44" t="s">
        <v>231</v>
      </c>
      <c r="C211" s="4" t="s">
        <v>119</v>
      </c>
      <c r="D211" s="5" t="s">
        <v>178</v>
      </c>
      <c r="E211" s="65" t="s">
        <v>22</v>
      </c>
      <c r="F211" s="34" t="s">
        <v>11</v>
      </c>
      <c r="G211" s="73"/>
      <c r="H211" s="75"/>
      <c r="I211" s="75"/>
      <c r="J211" s="75"/>
      <c r="K211" s="75"/>
      <c r="L211" s="75"/>
      <c r="M211" s="75"/>
      <c r="N211" s="75"/>
      <c r="O211" s="75"/>
      <c r="P211" s="75"/>
      <c r="Q211" s="75"/>
      <c r="R211" s="79"/>
      <c r="S211" s="79"/>
      <c r="T211" s="79"/>
      <c r="U211" s="79"/>
      <c r="V211" s="80"/>
    </row>
    <row r="212" spans="1:22" ht="30" customHeight="1">
      <c r="A212" s="17">
        <v>213</v>
      </c>
      <c r="B212" s="44" t="s">
        <v>232</v>
      </c>
      <c r="C212" s="4" t="s">
        <v>119</v>
      </c>
      <c r="D212" s="5" t="s">
        <v>178</v>
      </c>
      <c r="E212" s="65" t="s">
        <v>22</v>
      </c>
      <c r="F212" s="34" t="s">
        <v>11</v>
      </c>
      <c r="G212" s="73"/>
      <c r="H212" s="75"/>
      <c r="I212" s="75"/>
      <c r="J212" s="75"/>
      <c r="K212" s="75"/>
      <c r="L212" s="75"/>
      <c r="M212" s="75"/>
      <c r="N212" s="75"/>
      <c r="O212" s="75"/>
      <c r="P212" s="75"/>
      <c r="Q212" s="75"/>
      <c r="R212" s="79"/>
      <c r="S212" s="79"/>
      <c r="T212" s="79"/>
      <c r="U212" s="79"/>
      <c r="V212" s="80"/>
    </row>
    <row r="213" spans="1:22" ht="30" customHeight="1">
      <c r="A213" s="17">
        <v>214</v>
      </c>
      <c r="B213" s="44" t="s">
        <v>233</v>
      </c>
      <c r="C213" s="4" t="s">
        <v>119</v>
      </c>
      <c r="D213" s="5" t="s">
        <v>178</v>
      </c>
      <c r="E213" s="65" t="s">
        <v>22</v>
      </c>
      <c r="F213" s="34" t="s">
        <v>11</v>
      </c>
      <c r="G213" s="73"/>
      <c r="H213" s="75"/>
      <c r="I213" s="75"/>
      <c r="J213" s="75"/>
      <c r="K213" s="75"/>
      <c r="L213" s="75"/>
      <c r="M213" s="75"/>
      <c r="N213" s="75"/>
      <c r="O213" s="75"/>
      <c r="P213" s="75"/>
      <c r="Q213" s="75"/>
      <c r="R213" s="79"/>
      <c r="S213" s="79"/>
      <c r="T213" s="79"/>
      <c r="U213" s="79"/>
      <c r="V213" s="80"/>
    </row>
    <row r="214" spans="1:22" ht="30" customHeight="1">
      <c r="A214" s="17">
        <v>215</v>
      </c>
      <c r="B214" s="44" t="s">
        <v>234</v>
      </c>
      <c r="C214" s="4" t="s">
        <v>119</v>
      </c>
      <c r="D214" s="5" t="s">
        <v>178</v>
      </c>
      <c r="E214" s="65" t="s">
        <v>179</v>
      </c>
      <c r="F214" s="34" t="s">
        <v>11</v>
      </c>
      <c r="G214" s="73"/>
      <c r="H214" s="75"/>
      <c r="I214" s="75"/>
      <c r="J214" s="75"/>
      <c r="K214" s="75"/>
      <c r="L214" s="75"/>
      <c r="M214" s="75"/>
      <c r="N214" s="75"/>
      <c r="O214" s="75"/>
      <c r="P214" s="75"/>
      <c r="Q214" s="75"/>
      <c r="R214" s="79"/>
      <c r="S214" s="79"/>
      <c r="T214" s="79"/>
      <c r="U214" s="79"/>
      <c r="V214" s="80"/>
    </row>
    <row r="215" spans="1:22" ht="30" customHeight="1">
      <c r="A215" s="17">
        <v>216</v>
      </c>
      <c r="B215" s="44" t="s">
        <v>235</v>
      </c>
      <c r="C215" s="4" t="s">
        <v>119</v>
      </c>
      <c r="D215" s="5" t="s">
        <v>178</v>
      </c>
      <c r="E215" s="65" t="s">
        <v>179</v>
      </c>
      <c r="F215" s="34" t="s">
        <v>11</v>
      </c>
      <c r="G215" s="73"/>
      <c r="H215" s="75"/>
      <c r="I215" s="75"/>
      <c r="J215" s="75"/>
      <c r="K215" s="75"/>
      <c r="L215" s="75"/>
      <c r="M215" s="75"/>
      <c r="N215" s="75"/>
      <c r="O215" s="75"/>
      <c r="P215" s="75"/>
      <c r="Q215" s="75"/>
      <c r="R215" s="79"/>
      <c r="S215" s="79"/>
      <c r="T215" s="79"/>
      <c r="U215" s="79"/>
      <c r="V215" s="80"/>
    </row>
    <row r="216" spans="1:22" ht="30" customHeight="1">
      <c r="A216" s="17">
        <v>217</v>
      </c>
      <c r="B216" s="44" t="s">
        <v>234</v>
      </c>
      <c r="C216" s="4" t="s">
        <v>119</v>
      </c>
      <c r="D216" s="5" t="s">
        <v>178</v>
      </c>
      <c r="E216" s="65" t="s">
        <v>179</v>
      </c>
      <c r="F216" s="34" t="s">
        <v>11</v>
      </c>
      <c r="G216" s="73"/>
      <c r="H216" s="75"/>
      <c r="I216" s="75"/>
      <c r="J216" s="75"/>
      <c r="K216" s="75"/>
      <c r="L216" s="75"/>
      <c r="M216" s="75"/>
      <c r="N216" s="75"/>
      <c r="O216" s="75"/>
      <c r="P216" s="75"/>
      <c r="Q216" s="75"/>
      <c r="R216" s="79"/>
      <c r="S216" s="79"/>
      <c r="T216" s="79"/>
      <c r="U216" s="79"/>
      <c r="V216" s="80"/>
    </row>
    <row r="217" spans="1:22" ht="30" customHeight="1">
      <c r="A217" s="17">
        <v>218</v>
      </c>
      <c r="B217" s="44" t="s">
        <v>236</v>
      </c>
      <c r="C217" s="4" t="s">
        <v>119</v>
      </c>
      <c r="D217" s="5" t="s">
        <v>178</v>
      </c>
      <c r="E217" s="65" t="s">
        <v>179</v>
      </c>
      <c r="F217" s="34" t="s">
        <v>11</v>
      </c>
      <c r="G217" s="73"/>
      <c r="H217" s="75"/>
      <c r="I217" s="75"/>
      <c r="J217" s="75"/>
      <c r="K217" s="75"/>
      <c r="L217" s="75"/>
      <c r="M217" s="75"/>
      <c r="N217" s="75"/>
      <c r="O217" s="75"/>
      <c r="P217" s="75"/>
      <c r="Q217" s="75"/>
      <c r="R217" s="79"/>
      <c r="S217" s="79"/>
      <c r="T217" s="79"/>
      <c r="U217" s="79"/>
      <c r="V217" s="80"/>
    </row>
    <row r="218" spans="1:22" ht="30" customHeight="1">
      <c r="A218" s="17">
        <v>219</v>
      </c>
      <c r="B218" s="44" t="s">
        <v>237</v>
      </c>
      <c r="C218" s="4" t="s">
        <v>119</v>
      </c>
      <c r="D218" s="5" t="s">
        <v>178</v>
      </c>
      <c r="E218" s="65" t="s">
        <v>14</v>
      </c>
      <c r="F218" s="34" t="s">
        <v>11</v>
      </c>
      <c r="G218" s="73"/>
      <c r="H218" s="75"/>
      <c r="I218" s="75"/>
      <c r="J218" s="75"/>
      <c r="K218" s="75"/>
      <c r="L218" s="75"/>
      <c r="M218" s="75"/>
      <c r="N218" s="75"/>
      <c r="O218" s="75"/>
      <c r="P218" s="75"/>
      <c r="Q218" s="75"/>
      <c r="R218" s="79"/>
      <c r="S218" s="79"/>
      <c r="T218" s="79"/>
      <c r="U218" s="79"/>
      <c r="V218" s="80"/>
    </row>
    <row r="219" spans="1:22" ht="30" customHeight="1">
      <c r="A219" s="17">
        <v>220</v>
      </c>
      <c r="B219" s="44" t="s">
        <v>238</v>
      </c>
      <c r="C219" s="4" t="s">
        <v>119</v>
      </c>
      <c r="D219" s="5" t="s">
        <v>178</v>
      </c>
      <c r="E219" s="65" t="s">
        <v>179</v>
      </c>
      <c r="F219" s="34" t="s">
        <v>11</v>
      </c>
      <c r="G219" s="73"/>
      <c r="H219" s="75"/>
      <c r="I219" s="75"/>
      <c r="J219" s="75"/>
      <c r="K219" s="75"/>
      <c r="L219" s="75"/>
      <c r="M219" s="75"/>
      <c r="N219" s="75"/>
      <c r="O219" s="75"/>
      <c r="P219" s="75"/>
      <c r="Q219" s="75"/>
      <c r="R219" s="79"/>
      <c r="S219" s="79"/>
      <c r="T219" s="79"/>
      <c r="U219" s="79"/>
      <c r="V219" s="80"/>
    </row>
    <row r="220" spans="1:22" ht="30" customHeight="1">
      <c r="A220" s="17">
        <v>221</v>
      </c>
      <c r="B220" s="44" t="s">
        <v>239</v>
      </c>
      <c r="C220" s="4" t="s">
        <v>119</v>
      </c>
      <c r="D220" s="5" t="s">
        <v>178</v>
      </c>
      <c r="E220" s="65" t="s">
        <v>179</v>
      </c>
      <c r="F220" s="34" t="s">
        <v>11</v>
      </c>
      <c r="G220" s="73"/>
      <c r="H220" s="75"/>
      <c r="I220" s="75"/>
      <c r="J220" s="75"/>
      <c r="K220" s="75"/>
      <c r="L220" s="75"/>
      <c r="M220" s="75"/>
      <c r="N220" s="75"/>
      <c r="O220" s="75"/>
      <c r="P220" s="75"/>
      <c r="Q220" s="75"/>
      <c r="R220" s="79"/>
      <c r="S220" s="79"/>
      <c r="T220" s="79"/>
      <c r="U220" s="79"/>
      <c r="V220" s="80"/>
    </row>
    <row r="221" spans="1:22" ht="30" customHeight="1">
      <c r="A221" s="17">
        <v>222</v>
      </c>
      <c r="B221" s="44" t="s">
        <v>240</v>
      </c>
      <c r="C221" s="4" t="s">
        <v>119</v>
      </c>
      <c r="D221" s="5" t="s">
        <v>178</v>
      </c>
      <c r="E221" s="65" t="s">
        <v>22</v>
      </c>
      <c r="F221" s="34" t="s">
        <v>11</v>
      </c>
      <c r="G221" s="73"/>
      <c r="H221" s="75"/>
      <c r="I221" s="75"/>
      <c r="J221" s="75"/>
      <c r="K221" s="75"/>
      <c r="L221" s="75"/>
      <c r="M221" s="75"/>
      <c r="N221" s="75"/>
      <c r="O221" s="75"/>
      <c r="P221" s="75"/>
      <c r="Q221" s="75"/>
      <c r="R221" s="79"/>
      <c r="S221" s="79"/>
      <c r="T221" s="79"/>
      <c r="U221" s="79"/>
      <c r="V221" s="80"/>
    </row>
    <row r="222" spans="1:22" ht="30" customHeight="1">
      <c r="A222" s="17">
        <v>223</v>
      </c>
      <c r="B222" s="44" t="s">
        <v>241</v>
      </c>
      <c r="C222" s="4" t="s">
        <v>119</v>
      </c>
      <c r="D222" s="5" t="s">
        <v>178</v>
      </c>
      <c r="E222" s="65" t="s">
        <v>22</v>
      </c>
      <c r="F222" s="34" t="s">
        <v>11</v>
      </c>
      <c r="G222" s="73"/>
      <c r="H222" s="75"/>
      <c r="I222" s="75"/>
      <c r="J222" s="75"/>
      <c r="K222" s="75"/>
      <c r="L222" s="75"/>
      <c r="M222" s="75"/>
      <c r="N222" s="75"/>
      <c r="O222" s="75"/>
      <c r="P222" s="75"/>
      <c r="Q222" s="75"/>
      <c r="R222" s="79"/>
      <c r="S222" s="79"/>
      <c r="T222" s="79"/>
      <c r="U222" s="79"/>
      <c r="V222" s="80"/>
    </row>
    <row r="223" spans="1:22" ht="30" customHeight="1">
      <c r="A223" s="17">
        <v>224</v>
      </c>
      <c r="B223" s="44" t="s">
        <v>242</v>
      </c>
      <c r="C223" s="4" t="s">
        <v>119</v>
      </c>
      <c r="D223" s="5" t="s">
        <v>178</v>
      </c>
      <c r="E223" s="65" t="s">
        <v>22</v>
      </c>
      <c r="F223" s="34" t="s">
        <v>11</v>
      </c>
      <c r="G223" s="73"/>
      <c r="H223" s="75"/>
      <c r="I223" s="75"/>
      <c r="J223" s="75"/>
      <c r="K223" s="75"/>
      <c r="L223" s="75"/>
      <c r="M223" s="75"/>
      <c r="N223" s="75"/>
      <c r="O223" s="75"/>
      <c r="P223" s="75"/>
      <c r="Q223" s="75"/>
      <c r="R223" s="79"/>
      <c r="S223" s="79"/>
      <c r="T223" s="79"/>
      <c r="U223" s="79"/>
      <c r="V223" s="80"/>
    </row>
    <row r="224" spans="1:22" ht="30" customHeight="1">
      <c r="A224" s="17">
        <v>225</v>
      </c>
      <c r="B224" s="44" t="s">
        <v>243</v>
      </c>
      <c r="C224" s="4" t="s">
        <v>119</v>
      </c>
      <c r="D224" s="5" t="s">
        <v>178</v>
      </c>
      <c r="E224" s="65" t="s">
        <v>22</v>
      </c>
      <c r="F224" s="34" t="s">
        <v>11</v>
      </c>
      <c r="G224" s="73"/>
      <c r="H224" s="75"/>
      <c r="I224" s="75"/>
      <c r="J224" s="75"/>
      <c r="K224" s="75"/>
      <c r="L224" s="75"/>
      <c r="M224" s="75"/>
      <c r="N224" s="75"/>
      <c r="O224" s="75"/>
      <c r="P224" s="75"/>
      <c r="Q224" s="75"/>
      <c r="R224" s="79"/>
      <c r="S224" s="79"/>
      <c r="T224" s="79"/>
      <c r="U224" s="79"/>
      <c r="V224" s="80"/>
    </row>
    <row r="225" spans="1:22" ht="30" customHeight="1">
      <c r="A225" s="17">
        <v>226</v>
      </c>
      <c r="B225" s="44" t="s">
        <v>244</v>
      </c>
      <c r="C225" s="4" t="s">
        <v>119</v>
      </c>
      <c r="D225" s="5" t="s">
        <v>178</v>
      </c>
      <c r="E225" s="65" t="s">
        <v>22</v>
      </c>
      <c r="F225" s="34" t="s">
        <v>11</v>
      </c>
      <c r="G225" s="73"/>
      <c r="H225" s="75"/>
      <c r="I225" s="75"/>
      <c r="J225" s="75"/>
      <c r="K225" s="75"/>
      <c r="L225" s="75"/>
      <c r="M225" s="75"/>
      <c r="N225" s="75"/>
      <c r="O225" s="75"/>
      <c r="P225" s="75"/>
      <c r="Q225" s="75"/>
      <c r="R225" s="79"/>
      <c r="S225" s="79"/>
      <c r="T225" s="79"/>
      <c r="U225" s="79"/>
      <c r="V225" s="80"/>
    </row>
    <row r="226" spans="1:22" ht="30" customHeight="1">
      <c r="A226" s="17">
        <v>227</v>
      </c>
      <c r="B226" s="44" t="s">
        <v>245</v>
      </c>
      <c r="C226" s="4" t="s">
        <v>119</v>
      </c>
      <c r="D226" s="5" t="s">
        <v>178</v>
      </c>
      <c r="E226" s="65" t="s">
        <v>22</v>
      </c>
      <c r="F226" s="34" t="s">
        <v>11</v>
      </c>
      <c r="G226" s="73"/>
      <c r="H226" s="75"/>
      <c r="I226" s="75"/>
      <c r="J226" s="75"/>
      <c r="K226" s="75"/>
      <c r="L226" s="75"/>
      <c r="M226" s="75"/>
      <c r="N226" s="75"/>
      <c r="O226" s="75"/>
      <c r="P226" s="75"/>
      <c r="Q226" s="75"/>
      <c r="R226" s="79"/>
      <c r="S226" s="79"/>
      <c r="T226" s="79"/>
      <c r="U226" s="79"/>
      <c r="V226" s="80"/>
    </row>
    <row r="227" spans="1:22" ht="30" customHeight="1">
      <c r="A227" s="17">
        <v>228</v>
      </c>
      <c r="B227" s="44" t="s">
        <v>246</v>
      </c>
      <c r="C227" s="4" t="s">
        <v>119</v>
      </c>
      <c r="D227" s="5" t="s">
        <v>178</v>
      </c>
      <c r="E227" s="65" t="s">
        <v>22</v>
      </c>
      <c r="F227" s="34" t="s">
        <v>11</v>
      </c>
      <c r="G227" s="73"/>
      <c r="H227" s="75"/>
      <c r="I227" s="75"/>
      <c r="J227" s="75"/>
      <c r="K227" s="75"/>
      <c r="L227" s="75"/>
      <c r="M227" s="75"/>
      <c r="N227" s="75"/>
      <c r="O227" s="75"/>
      <c r="P227" s="75"/>
      <c r="Q227" s="75"/>
      <c r="R227" s="79"/>
      <c r="S227" s="79"/>
      <c r="T227" s="79"/>
      <c r="U227" s="79"/>
      <c r="V227" s="80"/>
    </row>
    <row r="228" spans="1:22" ht="30" customHeight="1">
      <c r="A228" s="17">
        <v>229</v>
      </c>
      <c r="B228" s="44" t="s">
        <v>247</v>
      </c>
      <c r="C228" s="4" t="s">
        <v>119</v>
      </c>
      <c r="D228" s="5" t="s">
        <v>178</v>
      </c>
      <c r="E228" s="65" t="s">
        <v>22</v>
      </c>
      <c r="F228" s="34" t="s">
        <v>11</v>
      </c>
      <c r="G228" s="73"/>
      <c r="H228" s="75"/>
      <c r="I228" s="75"/>
      <c r="J228" s="75"/>
      <c r="K228" s="75"/>
      <c r="L228" s="75"/>
      <c r="M228" s="75"/>
      <c r="N228" s="75"/>
      <c r="O228" s="75"/>
      <c r="P228" s="75"/>
      <c r="Q228" s="75"/>
      <c r="R228" s="79"/>
      <c r="S228" s="79"/>
      <c r="T228" s="79"/>
      <c r="U228" s="79"/>
      <c r="V228" s="80"/>
    </row>
    <row r="229" spans="1:22" ht="30" customHeight="1">
      <c r="A229" s="17">
        <v>230</v>
      </c>
      <c r="B229" s="44" t="s">
        <v>191</v>
      </c>
      <c r="C229" s="4" t="s">
        <v>119</v>
      </c>
      <c r="D229" s="5" t="s">
        <v>178</v>
      </c>
      <c r="E229" s="65" t="s">
        <v>14</v>
      </c>
      <c r="F229" s="34" t="s">
        <v>11</v>
      </c>
      <c r="G229" s="73"/>
      <c r="H229" s="75"/>
      <c r="I229" s="75"/>
      <c r="J229" s="75"/>
      <c r="K229" s="75"/>
      <c r="L229" s="75"/>
      <c r="M229" s="75"/>
      <c r="N229" s="75"/>
      <c r="O229" s="75"/>
      <c r="P229" s="75"/>
      <c r="Q229" s="75"/>
      <c r="R229" s="79"/>
      <c r="S229" s="79"/>
      <c r="T229" s="79"/>
      <c r="U229" s="79"/>
      <c r="V229" s="80"/>
    </row>
    <row r="230" spans="1:22" ht="30" customHeight="1">
      <c r="A230" s="17">
        <v>231</v>
      </c>
      <c r="B230" s="44" t="s">
        <v>248</v>
      </c>
      <c r="C230" s="4" t="s">
        <v>119</v>
      </c>
      <c r="D230" s="5" t="s">
        <v>178</v>
      </c>
      <c r="E230" s="65" t="s">
        <v>179</v>
      </c>
      <c r="F230" s="34" t="s">
        <v>11</v>
      </c>
      <c r="G230" s="73"/>
      <c r="H230" s="75"/>
      <c r="I230" s="75"/>
      <c r="J230" s="75"/>
      <c r="K230" s="75"/>
      <c r="L230" s="75"/>
      <c r="M230" s="75"/>
      <c r="N230" s="75"/>
      <c r="O230" s="75"/>
      <c r="P230" s="75"/>
      <c r="Q230" s="75"/>
      <c r="R230" s="79"/>
      <c r="S230" s="79"/>
      <c r="T230" s="79"/>
      <c r="U230" s="79"/>
      <c r="V230" s="80"/>
    </row>
    <row r="231" spans="1:22" ht="30" customHeight="1">
      <c r="A231" s="17">
        <v>232</v>
      </c>
      <c r="B231" s="44" t="s">
        <v>249</v>
      </c>
      <c r="C231" s="4" t="s">
        <v>119</v>
      </c>
      <c r="D231" s="5" t="s">
        <v>178</v>
      </c>
      <c r="E231" s="65" t="s">
        <v>179</v>
      </c>
      <c r="F231" s="34" t="s">
        <v>11</v>
      </c>
      <c r="G231" s="73"/>
      <c r="H231" s="75"/>
      <c r="I231" s="75"/>
      <c r="J231" s="75"/>
      <c r="K231" s="75"/>
      <c r="L231" s="75"/>
      <c r="M231" s="75"/>
      <c r="N231" s="75"/>
      <c r="O231" s="75"/>
      <c r="P231" s="75"/>
      <c r="Q231" s="75"/>
      <c r="R231" s="79"/>
      <c r="S231" s="79"/>
      <c r="T231" s="79"/>
      <c r="U231" s="79"/>
      <c r="V231" s="80"/>
    </row>
    <row r="232" spans="1:22" ht="30" customHeight="1">
      <c r="A232" s="17">
        <v>233</v>
      </c>
      <c r="B232" s="44" t="s">
        <v>250</v>
      </c>
      <c r="C232" s="4" t="s">
        <v>119</v>
      </c>
      <c r="D232" s="5" t="s">
        <v>178</v>
      </c>
      <c r="E232" s="65" t="s">
        <v>179</v>
      </c>
      <c r="F232" s="34" t="s">
        <v>11</v>
      </c>
    </row>
    <row r="233" spans="1:22" ht="30" customHeight="1">
      <c r="A233" s="17">
        <v>234</v>
      </c>
      <c r="B233" s="44" t="s">
        <v>234</v>
      </c>
      <c r="C233" s="4" t="s">
        <v>119</v>
      </c>
      <c r="D233" s="5" t="s">
        <v>178</v>
      </c>
      <c r="E233" s="65" t="s">
        <v>179</v>
      </c>
      <c r="F233" s="34" t="s">
        <v>11</v>
      </c>
    </row>
    <row r="234" spans="1:22" ht="30" customHeight="1">
      <c r="A234" s="17">
        <v>235</v>
      </c>
      <c r="B234" s="44" t="s">
        <v>251</v>
      </c>
      <c r="C234" s="4" t="s">
        <v>157</v>
      </c>
      <c r="D234" s="5" t="s">
        <v>178</v>
      </c>
      <c r="E234" s="65" t="s">
        <v>179</v>
      </c>
      <c r="F234" s="34" t="s">
        <v>11</v>
      </c>
    </row>
    <row r="235" spans="1:22" ht="30" customHeight="1">
      <c r="A235" s="17">
        <v>236</v>
      </c>
      <c r="B235" s="44" t="s">
        <v>252</v>
      </c>
      <c r="C235" s="4" t="s">
        <v>119</v>
      </c>
      <c r="D235" s="5" t="s">
        <v>178</v>
      </c>
      <c r="E235" s="65" t="s">
        <v>14</v>
      </c>
      <c r="F235" s="34" t="s">
        <v>11</v>
      </c>
    </row>
    <row r="236" spans="1:22" ht="30" customHeight="1">
      <c r="A236" s="17">
        <v>237</v>
      </c>
      <c r="B236" s="44" t="s">
        <v>248</v>
      </c>
      <c r="C236" s="4" t="s">
        <v>119</v>
      </c>
      <c r="D236" s="5" t="s">
        <v>178</v>
      </c>
      <c r="E236" s="65" t="s">
        <v>179</v>
      </c>
      <c r="F236" s="34" t="s">
        <v>11</v>
      </c>
    </row>
    <row r="237" spans="1:22" ht="30" customHeight="1">
      <c r="A237" s="17">
        <v>238</v>
      </c>
      <c r="B237" s="44" t="s">
        <v>253</v>
      </c>
      <c r="C237" s="4" t="s">
        <v>119</v>
      </c>
      <c r="D237" s="5" t="s">
        <v>178</v>
      </c>
      <c r="E237" s="65" t="s">
        <v>179</v>
      </c>
      <c r="F237" s="34" t="s">
        <v>11</v>
      </c>
    </row>
    <row r="238" spans="1:22" ht="30" customHeight="1">
      <c r="A238" s="17">
        <v>239</v>
      </c>
      <c r="B238" s="44" t="s">
        <v>253</v>
      </c>
      <c r="C238" s="4" t="s">
        <v>119</v>
      </c>
      <c r="D238" s="5" t="s">
        <v>178</v>
      </c>
      <c r="E238" s="65" t="s">
        <v>179</v>
      </c>
      <c r="F238" s="34" t="s">
        <v>11</v>
      </c>
    </row>
    <row r="239" spans="1:22" ht="30" customHeight="1">
      <c r="A239" s="17">
        <v>240</v>
      </c>
      <c r="B239" s="44" t="s">
        <v>253</v>
      </c>
      <c r="C239" s="4" t="s">
        <v>119</v>
      </c>
      <c r="D239" s="5" t="s">
        <v>178</v>
      </c>
      <c r="E239" s="65" t="s">
        <v>179</v>
      </c>
      <c r="F239" s="34" t="s">
        <v>11</v>
      </c>
    </row>
    <row r="240" spans="1:22" ht="30" customHeight="1">
      <c r="A240" s="17">
        <v>241</v>
      </c>
      <c r="B240" s="44" t="s">
        <v>254</v>
      </c>
      <c r="C240" s="4" t="s">
        <v>119</v>
      </c>
      <c r="D240" s="5" t="s">
        <v>178</v>
      </c>
      <c r="E240" s="65" t="s">
        <v>179</v>
      </c>
      <c r="F240" s="34" t="s">
        <v>11</v>
      </c>
    </row>
    <row r="241" spans="1:6" ht="30" customHeight="1">
      <c r="A241" s="17">
        <v>242</v>
      </c>
      <c r="B241" s="44" t="s">
        <v>255</v>
      </c>
      <c r="C241" s="4" t="s">
        <v>119</v>
      </c>
      <c r="D241" s="5" t="s">
        <v>178</v>
      </c>
      <c r="E241" s="65" t="s">
        <v>14</v>
      </c>
      <c r="F241" s="34" t="s">
        <v>11</v>
      </c>
    </row>
    <row r="242" spans="1:6" ht="30" customHeight="1">
      <c r="A242" s="48">
        <v>243</v>
      </c>
      <c r="B242" s="44" t="s">
        <v>254</v>
      </c>
      <c r="C242" s="4" t="s">
        <v>119</v>
      </c>
      <c r="D242" s="5" t="s">
        <v>178</v>
      </c>
      <c r="E242" s="65" t="s">
        <v>179</v>
      </c>
      <c r="F242" s="34" t="s">
        <v>11</v>
      </c>
    </row>
    <row r="243" spans="1:6" ht="30" customHeight="1">
      <c r="A243" s="48">
        <v>244</v>
      </c>
      <c r="B243" s="44" t="s">
        <v>254</v>
      </c>
      <c r="C243" s="4" t="s">
        <v>119</v>
      </c>
      <c r="D243" s="5" t="s">
        <v>178</v>
      </c>
      <c r="E243" s="65" t="s">
        <v>179</v>
      </c>
      <c r="F243" s="34" t="s">
        <v>11</v>
      </c>
    </row>
    <row r="244" spans="1:6" ht="30" customHeight="1">
      <c r="A244" s="48">
        <v>245</v>
      </c>
      <c r="B244" s="44" t="s">
        <v>254</v>
      </c>
      <c r="C244" s="4" t="s">
        <v>119</v>
      </c>
      <c r="D244" s="5" t="s">
        <v>178</v>
      </c>
      <c r="E244" s="65" t="s">
        <v>179</v>
      </c>
      <c r="F244" s="34" t="s">
        <v>11</v>
      </c>
    </row>
    <row r="245" spans="1:6" ht="30" customHeight="1">
      <c r="A245" s="48">
        <v>246</v>
      </c>
      <c r="B245" s="44" t="s">
        <v>256</v>
      </c>
      <c r="C245" s="4" t="s">
        <v>119</v>
      </c>
      <c r="D245" s="5" t="s">
        <v>178</v>
      </c>
      <c r="E245" s="65" t="s">
        <v>104</v>
      </c>
      <c r="F245" s="34" t="s">
        <v>11</v>
      </c>
    </row>
    <row r="246" spans="1:6" ht="30" customHeight="1">
      <c r="A246" s="48">
        <v>247</v>
      </c>
      <c r="B246" s="44" t="s">
        <v>257</v>
      </c>
      <c r="C246" s="4" t="s">
        <v>119</v>
      </c>
      <c r="D246" s="5" t="s">
        <v>178</v>
      </c>
      <c r="E246" s="65" t="s">
        <v>179</v>
      </c>
      <c r="F246" s="34" t="s">
        <v>11</v>
      </c>
    </row>
    <row r="247" spans="1:6" ht="30" customHeight="1">
      <c r="A247" s="48">
        <v>248</v>
      </c>
      <c r="B247" s="44" t="s">
        <v>257</v>
      </c>
      <c r="C247" s="4" t="s">
        <v>119</v>
      </c>
      <c r="D247" s="5" t="s">
        <v>178</v>
      </c>
      <c r="E247" s="65" t="s">
        <v>179</v>
      </c>
      <c r="F247" s="34" t="s">
        <v>11</v>
      </c>
    </row>
    <row r="248" spans="1:6" ht="30" customHeight="1">
      <c r="A248" s="48">
        <v>249</v>
      </c>
      <c r="B248" s="44" t="s">
        <v>258</v>
      </c>
      <c r="C248" s="4" t="s">
        <v>119</v>
      </c>
      <c r="D248" s="5" t="s">
        <v>178</v>
      </c>
      <c r="E248" s="65" t="s">
        <v>22</v>
      </c>
      <c r="F248" s="34" t="s">
        <v>11</v>
      </c>
    </row>
    <row r="249" spans="1:6" ht="30" customHeight="1">
      <c r="A249" s="48">
        <v>250</v>
      </c>
      <c r="B249" s="44" t="s">
        <v>259</v>
      </c>
      <c r="C249" s="4" t="s">
        <v>119</v>
      </c>
      <c r="D249" s="5" t="s">
        <v>178</v>
      </c>
      <c r="E249" s="65" t="s">
        <v>22</v>
      </c>
      <c r="F249" s="34" t="s">
        <v>11</v>
      </c>
    </row>
    <row r="250" spans="1:6" ht="30" customHeight="1">
      <c r="A250" s="48">
        <v>251</v>
      </c>
      <c r="B250" s="44" t="s">
        <v>213</v>
      </c>
      <c r="C250" s="4" t="s">
        <v>119</v>
      </c>
      <c r="D250" s="5" t="s">
        <v>178</v>
      </c>
      <c r="E250" s="65" t="s">
        <v>179</v>
      </c>
      <c r="F250" s="34" t="s">
        <v>11</v>
      </c>
    </row>
    <row r="251" spans="1:6" ht="30" customHeight="1">
      <c r="A251" s="48">
        <v>252</v>
      </c>
      <c r="B251" s="44" t="s">
        <v>260</v>
      </c>
      <c r="C251" s="4" t="s">
        <v>119</v>
      </c>
      <c r="D251" s="5" t="s">
        <v>178</v>
      </c>
      <c r="E251" s="65" t="s">
        <v>179</v>
      </c>
      <c r="F251" s="34" t="s">
        <v>11</v>
      </c>
    </row>
    <row r="252" spans="1:6" ht="30" customHeight="1">
      <c r="A252" s="48">
        <v>253</v>
      </c>
      <c r="B252" s="44" t="s">
        <v>260</v>
      </c>
      <c r="C252" s="4" t="s">
        <v>119</v>
      </c>
      <c r="D252" s="5" t="s">
        <v>178</v>
      </c>
      <c r="E252" s="65" t="s">
        <v>179</v>
      </c>
      <c r="F252" s="34" t="s">
        <v>11</v>
      </c>
    </row>
    <row r="253" spans="1:6" ht="30" customHeight="1">
      <c r="A253" s="48">
        <v>254</v>
      </c>
      <c r="B253" s="44" t="s">
        <v>260</v>
      </c>
      <c r="C253" s="4" t="s">
        <v>119</v>
      </c>
      <c r="D253" s="5" t="s">
        <v>178</v>
      </c>
      <c r="E253" s="65" t="s">
        <v>179</v>
      </c>
      <c r="F253" s="34" t="s">
        <v>11</v>
      </c>
    </row>
    <row r="254" spans="1:6" ht="30" customHeight="1">
      <c r="A254" s="48">
        <v>255</v>
      </c>
      <c r="B254" s="44" t="s">
        <v>260</v>
      </c>
      <c r="C254" s="4" t="s">
        <v>119</v>
      </c>
      <c r="D254" s="5" t="s">
        <v>178</v>
      </c>
      <c r="E254" s="65" t="s">
        <v>179</v>
      </c>
      <c r="F254" s="34" t="s">
        <v>11</v>
      </c>
    </row>
    <row r="255" spans="1:6" ht="30" customHeight="1">
      <c r="A255" s="48">
        <v>256</v>
      </c>
      <c r="B255" s="44" t="s">
        <v>260</v>
      </c>
      <c r="C255" s="4" t="s">
        <v>119</v>
      </c>
      <c r="D255" s="5" t="s">
        <v>178</v>
      </c>
      <c r="E255" s="65" t="s">
        <v>179</v>
      </c>
      <c r="F255" s="34" t="s">
        <v>11</v>
      </c>
    </row>
    <row r="256" spans="1:6" ht="30" customHeight="1">
      <c r="A256" s="48">
        <v>257</v>
      </c>
      <c r="B256" s="44" t="s">
        <v>261</v>
      </c>
      <c r="C256" s="4" t="s">
        <v>119</v>
      </c>
      <c r="D256" s="5" t="s">
        <v>178</v>
      </c>
      <c r="E256" s="65" t="s">
        <v>22</v>
      </c>
      <c r="F256" s="34" t="s">
        <v>11</v>
      </c>
    </row>
    <row r="257" spans="1:6" ht="30" customHeight="1">
      <c r="A257" s="48">
        <v>258</v>
      </c>
      <c r="B257" s="44" t="s">
        <v>262</v>
      </c>
      <c r="C257" s="4" t="s">
        <v>119</v>
      </c>
      <c r="D257" s="5" t="s">
        <v>178</v>
      </c>
      <c r="E257" s="65" t="s">
        <v>22</v>
      </c>
      <c r="F257" s="34" t="s">
        <v>11</v>
      </c>
    </row>
    <row r="258" spans="1:6" ht="30" customHeight="1">
      <c r="A258" s="48">
        <v>259</v>
      </c>
      <c r="B258" s="44" t="s">
        <v>263</v>
      </c>
      <c r="C258" s="4" t="s">
        <v>119</v>
      </c>
      <c r="D258" s="5" t="s">
        <v>178</v>
      </c>
      <c r="E258" s="65" t="s">
        <v>22</v>
      </c>
      <c r="F258" s="34" t="s">
        <v>11</v>
      </c>
    </row>
    <row r="259" spans="1:6" ht="30" customHeight="1">
      <c r="A259" s="48">
        <v>260</v>
      </c>
      <c r="B259" s="44" t="s">
        <v>264</v>
      </c>
      <c r="C259" s="4" t="s">
        <v>157</v>
      </c>
      <c r="D259" s="5" t="s">
        <v>178</v>
      </c>
      <c r="E259" s="65" t="s">
        <v>179</v>
      </c>
      <c r="F259" s="34" t="s">
        <v>11</v>
      </c>
    </row>
    <row r="260" spans="1:6" ht="30" customHeight="1">
      <c r="A260" s="48">
        <v>261</v>
      </c>
      <c r="B260" s="44" t="s">
        <v>265</v>
      </c>
      <c r="C260" s="4" t="s">
        <v>157</v>
      </c>
      <c r="D260" s="5" t="s">
        <v>178</v>
      </c>
      <c r="E260" s="65" t="s">
        <v>14</v>
      </c>
      <c r="F260" s="34" t="s">
        <v>11</v>
      </c>
    </row>
    <row r="261" spans="1:6" ht="30" customHeight="1">
      <c r="A261" s="48">
        <v>262</v>
      </c>
      <c r="B261" s="44" t="s">
        <v>214</v>
      </c>
      <c r="C261" s="4" t="s">
        <v>157</v>
      </c>
      <c r="D261" s="5" t="s">
        <v>178</v>
      </c>
      <c r="E261" s="65" t="s">
        <v>14</v>
      </c>
      <c r="F261" s="34" t="s">
        <v>11</v>
      </c>
    </row>
    <row r="262" spans="1:6" ht="30" customHeight="1">
      <c r="A262" s="48">
        <v>263</v>
      </c>
      <c r="B262" s="44" t="s">
        <v>251</v>
      </c>
      <c r="C262" s="4" t="s">
        <v>157</v>
      </c>
      <c r="D262" s="5" t="s">
        <v>178</v>
      </c>
      <c r="E262" s="65" t="s">
        <v>179</v>
      </c>
      <c r="F262" s="34" t="s">
        <v>11</v>
      </c>
    </row>
    <row r="263" spans="1:6" ht="30" customHeight="1">
      <c r="A263" s="48">
        <v>264</v>
      </c>
      <c r="B263" s="44" t="s">
        <v>266</v>
      </c>
      <c r="C263" s="4" t="s">
        <v>157</v>
      </c>
      <c r="D263" s="5" t="s">
        <v>178</v>
      </c>
      <c r="E263" s="65" t="s">
        <v>179</v>
      </c>
      <c r="F263" s="34" t="s">
        <v>11</v>
      </c>
    </row>
    <row r="264" spans="1:6" ht="30" customHeight="1">
      <c r="A264" s="48">
        <v>265</v>
      </c>
      <c r="B264" s="44" t="s">
        <v>267</v>
      </c>
      <c r="C264" s="4" t="s">
        <v>157</v>
      </c>
      <c r="D264" s="5" t="s">
        <v>178</v>
      </c>
      <c r="E264" s="65" t="s">
        <v>179</v>
      </c>
      <c r="F264" s="34" t="s">
        <v>11</v>
      </c>
    </row>
    <row r="265" spans="1:6" ht="30" customHeight="1">
      <c r="A265" s="48">
        <v>266</v>
      </c>
      <c r="B265" s="44" t="s">
        <v>254</v>
      </c>
      <c r="C265" s="4" t="s">
        <v>157</v>
      </c>
      <c r="D265" s="5" t="s">
        <v>178</v>
      </c>
      <c r="E265" s="65" t="s">
        <v>179</v>
      </c>
      <c r="F265" s="34" t="s">
        <v>11</v>
      </c>
    </row>
    <row r="266" spans="1:6" ht="30" customHeight="1">
      <c r="A266" s="48">
        <v>267</v>
      </c>
      <c r="B266" s="44" t="s">
        <v>268</v>
      </c>
      <c r="C266" s="4" t="s">
        <v>157</v>
      </c>
      <c r="D266" s="5" t="s">
        <v>178</v>
      </c>
      <c r="E266" s="65" t="s">
        <v>179</v>
      </c>
      <c r="F266" s="34" t="s">
        <v>11</v>
      </c>
    </row>
    <row r="267" spans="1:6" ht="30" customHeight="1">
      <c r="A267" s="48">
        <v>268</v>
      </c>
      <c r="B267" s="44" t="s">
        <v>234</v>
      </c>
      <c r="C267" s="4" t="s">
        <v>157</v>
      </c>
      <c r="D267" s="5" t="s">
        <v>178</v>
      </c>
      <c r="E267" s="65" t="s">
        <v>179</v>
      </c>
      <c r="F267" s="34" t="s">
        <v>11</v>
      </c>
    </row>
    <row r="268" spans="1:6" ht="30" customHeight="1">
      <c r="A268" s="48">
        <v>269</v>
      </c>
      <c r="B268" s="44" t="s">
        <v>234</v>
      </c>
      <c r="C268" s="4" t="s">
        <v>157</v>
      </c>
      <c r="D268" s="5" t="s">
        <v>178</v>
      </c>
      <c r="E268" s="65" t="s">
        <v>179</v>
      </c>
      <c r="F268" s="34" t="s">
        <v>11</v>
      </c>
    </row>
    <row r="269" spans="1:6" ht="30" customHeight="1">
      <c r="A269" s="48">
        <v>270</v>
      </c>
      <c r="B269" s="44" t="s">
        <v>269</v>
      </c>
      <c r="C269" s="4" t="s">
        <v>157</v>
      </c>
      <c r="D269" s="5" t="s">
        <v>178</v>
      </c>
      <c r="E269" s="65" t="s">
        <v>179</v>
      </c>
      <c r="F269" s="34" t="s">
        <v>11</v>
      </c>
    </row>
    <row r="270" spans="1:6" ht="30" customHeight="1">
      <c r="A270" s="48">
        <v>271</v>
      </c>
      <c r="B270" s="44" t="s">
        <v>270</v>
      </c>
      <c r="C270" s="4" t="s">
        <v>157</v>
      </c>
      <c r="D270" s="5" t="s">
        <v>178</v>
      </c>
      <c r="E270" s="65" t="s">
        <v>179</v>
      </c>
      <c r="F270" s="34" t="s">
        <v>11</v>
      </c>
    </row>
    <row r="271" spans="1:6" ht="30" customHeight="1">
      <c r="A271" s="48">
        <v>272</v>
      </c>
      <c r="B271" s="44" t="s">
        <v>271</v>
      </c>
      <c r="C271" s="4" t="s">
        <v>157</v>
      </c>
      <c r="D271" s="5" t="s">
        <v>178</v>
      </c>
      <c r="E271" s="65" t="s">
        <v>17</v>
      </c>
      <c r="F271" s="34" t="s">
        <v>11</v>
      </c>
    </row>
    <row r="272" spans="1:6" ht="30" customHeight="1">
      <c r="A272" s="48">
        <v>273</v>
      </c>
      <c r="B272" s="44" t="s">
        <v>272</v>
      </c>
      <c r="C272" s="4" t="s">
        <v>157</v>
      </c>
      <c r="D272" s="5" t="s">
        <v>178</v>
      </c>
      <c r="E272" s="65" t="s">
        <v>22</v>
      </c>
      <c r="F272" s="34" t="s">
        <v>11</v>
      </c>
    </row>
    <row r="273" spans="1:6" ht="30" customHeight="1">
      <c r="A273" s="48">
        <v>274</v>
      </c>
      <c r="B273" s="44" t="s">
        <v>272</v>
      </c>
      <c r="C273" s="4" t="s">
        <v>157</v>
      </c>
      <c r="D273" s="5" t="s">
        <v>178</v>
      </c>
      <c r="E273" s="65" t="s">
        <v>22</v>
      </c>
      <c r="F273" s="34" t="s">
        <v>11</v>
      </c>
    </row>
    <row r="274" spans="1:6" ht="30" customHeight="1">
      <c r="A274" s="48">
        <v>275</v>
      </c>
      <c r="B274" s="44" t="s">
        <v>273</v>
      </c>
      <c r="C274" s="4" t="s">
        <v>157</v>
      </c>
      <c r="D274" s="5" t="s">
        <v>178</v>
      </c>
      <c r="E274" s="65" t="s">
        <v>22</v>
      </c>
      <c r="F274" s="34" t="s">
        <v>11</v>
      </c>
    </row>
    <row r="275" spans="1:6" ht="30" customHeight="1">
      <c r="A275" s="48">
        <v>276</v>
      </c>
      <c r="B275" s="44" t="s">
        <v>274</v>
      </c>
      <c r="C275" s="4" t="s">
        <v>157</v>
      </c>
      <c r="D275" s="5" t="s">
        <v>178</v>
      </c>
      <c r="E275" s="65" t="s">
        <v>22</v>
      </c>
      <c r="F275" s="34" t="s">
        <v>11</v>
      </c>
    </row>
    <row r="276" spans="1:6" ht="30" customHeight="1">
      <c r="A276" s="48">
        <v>277</v>
      </c>
      <c r="B276" s="44" t="s">
        <v>275</v>
      </c>
      <c r="C276" s="4" t="s">
        <v>157</v>
      </c>
      <c r="D276" s="5" t="s">
        <v>178</v>
      </c>
      <c r="E276" s="65" t="s">
        <v>22</v>
      </c>
      <c r="F276" s="34" t="s">
        <v>11</v>
      </c>
    </row>
    <row r="277" spans="1:6" ht="30" customHeight="1">
      <c r="A277" s="48">
        <v>278</v>
      </c>
      <c r="B277" s="44" t="s">
        <v>270</v>
      </c>
      <c r="C277" s="4" t="s">
        <v>157</v>
      </c>
      <c r="D277" s="5" t="s">
        <v>178</v>
      </c>
      <c r="E277" s="65" t="s">
        <v>179</v>
      </c>
      <c r="F277" s="34" t="s">
        <v>11</v>
      </c>
    </row>
    <row r="278" spans="1:6" ht="30" customHeight="1">
      <c r="A278" s="48">
        <v>279</v>
      </c>
      <c r="B278" s="44" t="s">
        <v>255</v>
      </c>
      <c r="C278" s="4" t="s">
        <v>157</v>
      </c>
      <c r="D278" s="5" t="s">
        <v>178</v>
      </c>
      <c r="E278" s="65" t="s">
        <v>14</v>
      </c>
      <c r="F278" s="34" t="s">
        <v>11</v>
      </c>
    </row>
    <row r="279" spans="1:6" ht="30" customHeight="1">
      <c r="A279" s="48">
        <v>280</v>
      </c>
      <c r="B279" s="44" t="s">
        <v>251</v>
      </c>
      <c r="C279" s="4" t="s">
        <v>157</v>
      </c>
      <c r="D279" s="5" t="s">
        <v>178</v>
      </c>
      <c r="E279" s="65" t="s">
        <v>179</v>
      </c>
      <c r="F279" s="34" t="s">
        <v>11</v>
      </c>
    </row>
    <row r="280" spans="1:6" ht="30" customHeight="1">
      <c r="A280" s="48">
        <v>281</v>
      </c>
      <c r="B280" s="44" t="s">
        <v>253</v>
      </c>
      <c r="C280" s="4" t="s">
        <v>157</v>
      </c>
      <c r="D280" s="5" t="s">
        <v>178</v>
      </c>
      <c r="E280" s="65" t="s">
        <v>179</v>
      </c>
      <c r="F280" s="34" t="s">
        <v>11</v>
      </c>
    </row>
    <row r="281" spans="1:6" ht="30" customHeight="1">
      <c r="A281" s="48">
        <v>282</v>
      </c>
      <c r="B281" s="44" t="s">
        <v>276</v>
      </c>
      <c r="C281" s="4" t="s">
        <v>157</v>
      </c>
      <c r="D281" s="5" t="s">
        <v>178</v>
      </c>
      <c r="E281" s="65" t="s">
        <v>179</v>
      </c>
      <c r="F281" s="34" t="s">
        <v>11</v>
      </c>
    </row>
    <row r="282" spans="1:6" ht="30" customHeight="1">
      <c r="A282" s="48">
        <v>283</v>
      </c>
      <c r="B282" s="44" t="s">
        <v>277</v>
      </c>
      <c r="C282" s="4" t="s">
        <v>157</v>
      </c>
      <c r="D282" s="5" t="s">
        <v>178</v>
      </c>
      <c r="E282" s="65" t="s">
        <v>14</v>
      </c>
      <c r="F282" s="34" t="s">
        <v>11</v>
      </c>
    </row>
    <row r="283" spans="1:6" ht="30" customHeight="1">
      <c r="A283" s="48">
        <v>284</v>
      </c>
      <c r="B283" s="44" t="s">
        <v>278</v>
      </c>
      <c r="C283" s="4" t="s">
        <v>157</v>
      </c>
      <c r="D283" s="5" t="s">
        <v>178</v>
      </c>
      <c r="E283" s="65" t="s">
        <v>14</v>
      </c>
      <c r="F283" s="34" t="s">
        <v>11</v>
      </c>
    </row>
    <row r="284" spans="1:6" ht="30" customHeight="1">
      <c r="A284" s="48">
        <v>285</v>
      </c>
      <c r="B284" s="44" t="s">
        <v>279</v>
      </c>
      <c r="C284" s="4" t="s">
        <v>157</v>
      </c>
      <c r="D284" s="5" t="s">
        <v>178</v>
      </c>
      <c r="E284" s="65" t="s">
        <v>179</v>
      </c>
      <c r="F284" s="34" t="s">
        <v>11</v>
      </c>
    </row>
    <row r="285" spans="1:6" ht="30" customHeight="1">
      <c r="A285" s="48">
        <v>286</v>
      </c>
      <c r="B285" s="44" t="s">
        <v>280</v>
      </c>
      <c r="C285" s="4" t="s">
        <v>157</v>
      </c>
      <c r="D285" s="5" t="s">
        <v>178</v>
      </c>
      <c r="E285" s="65" t="s">
        <v>179</v>
      </c>
      <c r="F285" s="34" t="s">
        <v>11</v>
      </c>
    </row>
    <row r="286" spans="1:6" ht="30" customHeight="1">
      <c r="A286" s="48">
        <v>287</v>
      </c>
      <c r="B286" s="44" t="s">
        <v>281</v>
      </c>
      <c r="C286" s="4" t="s">
        <v>157</v>
      </c>
      <c r="D286" s="5" t="s">
        <v>178</v>
      </c>
      <c r="E286" s="65" t="s">
        <v>179</v>
      </c>
      <c r="F286" s="34" t="s">
        <v>11</v>
      </c>
    </row>
    <row r="287" spans="1:6" ht="30" customHeight="1">
      <c r="A287" s="48">
        <v>288</v>
      </c>
      <c r="B287" s="44" t="s">
        <v>282</v>
      </c>
      <c r="C287" s="4" t="s">
        <v>157</v>
      </c>
      <c r="D287" s="5" t="s">
        <v>178</v>
      </c>
      <c r="E287" s="65" t="s">
        <v>179</v>
      </c>
      <c r="F287" s="34" t="s">
        <v>11</v>
      </c>
    </row>
    <row r="288" spans="1:6" ht="30" customHeight="1">
      <c r="A288" s="48">
        <v>289</v>
      </c>
      <c r="B288" s="44" t="s">
        <v>282</v>
      </c>
      <c r="C288" s="4" t="s">
        <v>157</v>
      </c>
      <c r="D288" s="5" t="s">
        <v>178</v>
      </c>
      <c r="E288" s="65" t="s">
        <v>179</v>
      </c>
      <c r="F288" s="34" t="s">
        <v>11</v>
      </c>
    </row>
    <row r="289" spans="1:6" ht="30" customHeight="1">
      <c r="A289" s="48">
        <v>290</v>
      </c>
      <c r="B289" s="44" t="s">
        <v>270</v>
      </c>
      <c r="C289" s="4" t="s">
        <v>157</v>
      </c>
      <c r="D289" s="5" t="s">
        <v>178</v>
      </c>
      <c r="E289" s="65" t="s">
        <v>179</v>
      </c>
      <c r="F289" s="34" t="s">
        <v>11</v>
      </c>
    </row>
    <row r="290" spans="1:6" ht="30" customHeight="1">
      <c r="A290" s="48">
        <v>291</v>
      </c>
      <c r="B290" s="44" t="s">
        <v>270</v>
      </c>
      <c r="C290" s="4" t="s">
        <v>157</v>
      </c>
      <c r="D290" s="5" t="s">
        <v>178</v>
      </c>
      <c r="E290" s="65" t="s">
        <v>179</v>
      </c>
      <c r="F290" s="34" t="s">
        <v>11</v>
      </c>
    </row>
    <row r="291" spans="1:6" ht="30" customHeight="1">
      <c r="A291" s="48">
        <v>292</v>
      </c>
      <c r="B291" s="44" t="s">
        <v>270</v>
      </c>
      <c r="C291" s="4" t="s">
        <v>157</v>
      </c>
      <c r="D291" s="5" t="s">
        <v>178</v>
      </c>
      <c r="E291" s="65" t="s">
        <v>179</v>
      </c>
      <c r="F291" s="34" t="s">
        <v>11</v>
      </c>
    </row>
    <row r="292" spans="1:6" ht="30" customHeight="1">
      <c r="A292" s="48">
        <v>293</v>
      </c>
      <c r="B292" s="44" t="s">
        <v>283</v>
      </c>
      <c r="C292" s="4" t="s">
        <v>157</v>
      </c>
      <c r="D292" s="5" t="s">
        <v>178</v>
      </c>
      <c r="E292" s="65" t="s">
        <v>179</v>
      </c>
      <c r="F292" s="34" t="s">
        <v>11</v>
      </c>
    </row>
    <row r="293" spans="1:6" ht="30" customHeight="1">
      <c r="A293" s="48">
        <v>294</v>
      </c>
      <c r="B293" s="44" t="s">
        <v>284</v>
      </c>
      <c r="C293" s="4" t="s">
        <v>157</v>
      </c>
      <c r="D293" s="5" t="s">
        <v>178</v>
      </c>
      <c r="E293" s="65" t="s">
        <v>104</v>
      </c>
      <c r="F293" s="34" t="s">
        <v>11</v>
      </c>
    </row>
    <row r="294" spans="1:6" ht="30" customHeight="1">
      <c r="A294" s="48">
        <v>295</v>
      </c>
      <c r="B294" s="44" t="s">
        <v>285</v>
      </c>
      <c r="C294" s="4" t="s">
        <v>157</v>
      </c>
      <c r="D294" s="5" t="s">
        <v>178</v>
      </c>
      <c r="E294" s="65" t="s">
        <v>104</v>
      </c>
      <c r="F294" s="34" t="s">
        <v>11</v>
      </c>
    </row>
    <row r="295" spans="1:6" ht="30" customHeight="1">
      <c r="A295" s="48">
        <v>296</v>
      </c>
      <c r="B295" s="44" t="s">
        <v>214</v>
      </c>
      <c r="C295" s="4" t="s">
        <v>157</v>
      </c>
      <c r="D295" s="5" t="s">
        <v>178</v>
      </c>
      <c r="E295" s="65" t="s">
        <v>14</v>
      </c>
      <c r="F295" s="34" t="s">
        <v>11</v>
      </c>
    </row>
    <row r="296" spans="1:6" ht="30" customHeight="1">
      <c r="A296" s="48">
        <v>297</v>
      </c>
      <c r="B296" s="44" t="s">
        <v>286</v>
      </c>
      <c r="C296" s="4" t="s">
        <v>157</v>
      </c>
      <c r="D296" s="5" t="s">
        <v>178</v>
      </c>
      <c r="E296" s="65" t="s">
        <v>22</v>
      </c>
      <c r="F296" s="34" t="s">
        <v>11</v>
      </c>
    </row>
    <row r="297" spans="1:6" ht="30" customHeight="1">
      <c r="A297" s="48">
        <v>298</v>
      </c>
      <c r="B297" s="44" t="s">
        <v>287</v>
      </c>
      <c r="C297" s="4" t="s">
        <v>157</v>
      </c>
      <c r="D297" s="5" t="s">
        <v>178</v>
      </c>
      <c r="E297" s="65" t="s">
        <v>22</v>
      </c>
      <c r="F297" s="34" t="s">
        <v>11</v>
      </c>
    </row>
    <row r="298" spans="1:6" ht="30" customHeight="1">
      <c r="A298" s="48">
        <v>299</v>
      </c>
      <c r="B298" s="44" t="s">
        <v>288</v>
      </c>
      <c r="C298" s="4" t="s">
        <v>157</v>
      </c>
      <c r="D298" s="5" t="s">
        <v>178</v>
      </c>
      <c r="E298" s="65" t="s">
        <v>22</v>
      </c>
      <c r="F298" s="34" t="s">
        <v>11</v>
      </c>
    </row>
    <row r="299" spans="1:6" ht="30" customHeight="1">
      <c r="A299" s="48">
        <v>300</v>
      </c>
      <c r="B299" s="44" t="s">
        <v>289</v>
      </c>
      <c r="C299" s="4" t="s">
        <v>157</v>
      </c>
      <c r="D299" s="5" t="s">
        <v>178</v>
      </c>
      <c r="E299" s="65" t="s">
        <v>22</v>
      </c>
      <c r="F299" s="34" t="s">
        <v>11</v>
      </c>
    </row>
    <row r="300" spans="1:6" ht="30" customHeight="1">
      <c r="A300" s="48">
        <v>301</v>
      </c>
      <c r="B300" s="44" t="s">
        <v>290</v>
      </c>
      <c r="C300" s="4" t="s">
        <v>157</v>
      </c>
      <c r="D300" s="5" t="s">
        <v>178</v>
      </c>
      <c r="E300" s="65" t="s">
        <v>22</v>
      </c>
      <c r="F300" s="34" t="s">
        <v>11</v>
      </c>
    </row>
    <row r="301" spans="1:6" ht="30" customHeight="1">
      <c r="A301" s="48">
        <v>302</v>
      </c>
      <c r="B301" s="44" t="s">
        <v>291</v>
      </c>
      <c r="C301" s="4" t="s">
        <v>157</v>
      </c>
      <c r="D301" s="5" t="s">
        <v>178</v>
      </c>
      <c r="E301" s="65" t="s">
        <v>22</v>
      </c>
      <c r="F301" s="34" t="s">
        <v>11</v>
      </c>
    </row>
    <row r="302" spans="1:6" ht="30" customHeight="1">
      <c r="A302" s="48">
        <v>303</v>
      </c>
      <c r="B302" s="44" t="s">
        <v>292</v>
      </c>
      <c r="C302" s="4" t="s">
        <v>157</v>
      </c>
      <c r="D302" s="5" t="s">
        <v>178</v>
      </c>
      <c r="E302" s="65" t="s">
        <v>22</v>
      </c>
      <c r="F302" s="34" t="s">
        <v>11</v>
      </c>
    </row>
    <row r="303" spans="1:6" ht="30" customHeight="1">
      <c r="A303" s="48">
        <v>304</v>
      </c>
      <c r="B303" s="44" t="s">
        <v>293</v>
      </c>
      <c r="C303" s="4" t="s">
        <v>157</v>
      </c>
      <c r="D303" s="5" t="s">
        <v>25</v>
      </c>
      <c r="E303" s="66" t="s">
        <v>30</v>
      </c>
      <c r="F303" s="34" t="s">
        <v>11</v>
      </c>
    </row>
    <row r="304" spans="1:6" ht="30" customHeight="1">
      <c r="A304" s="48">
        <v>305</v>
      </c>
      <c r="B304" s="44" t="s">
        <v>294</v>
      </c>
      <c r="C304" s="4" t="s">
        <v>157</v>
      </c>
      <c r="D304" s="5" t="s">
        <v>25</v>
      </c>
      <c r="E304" s="66" t="s">
        <v>30</v>
      </c>
      <c r="F304" s="34" t="s">
        <v>11</v>
      </c>
    </row>
    <row r="305" spans="1:6" ht="30" customHeight="1">
      <c r="A305" s="48">
        <v>306</v>
      </c>
      <c r="B305" s="44" t="s">
        <v>295</v>
      </c>
      <c r="C305" s="4" t="s">
        <v>157</v>
      </c>
      <c r="D305" s="5" t="s">
        <v>25</v>
      </c>
      <c r="E305" s="66" t="s">
        <v>30</v>
      </c>
      <c r="F305" s="34" t="s">
        <v>11</v>
      </c>
    </row>
    <row r="306" spans="1:6" ht="30" customHeight="1">
      <c r="A306" s="48">
        <v>307</v>
      </c>
      <c r="B306" s="44" t="s">
        <v>296</v>
      </c>
      <c r="C306" s="4" t="s">
        <v>157</v>
      </c>
      <c r="D306" s="5" t="s">
        <v>25</v>
      </c>
      <c r="E306" s="66" t="s">
        <v>30</v>
      </c>
      <c r="F306" s="34" t="s">
        <v>11</v>
      </c>
    </row>
    <row r="307" spans="1:6" ht="30" customHeight="1">
      <c r="A307" s="48">
        <v>308</v>
      </c>
      <c r="B307" s="44" t="s">
        <v>297</v>
      </c>
      <c r="C307" s="4" t="s">
        <v>157</v>
      </c>
      <c r="D307" s="5" t="s">
        <v>25</v>
      </c>
      <c r="E307" s="66" t="s">
        <v>30</v>
      </c>
      <c r="F307" s="34" t="s">
        <v>11</v>
      </c>
    </row>
    <row r="308" spans="1:6" ht="30" customHeight="1">
      <c r="A308" s="48">
        <v>309</v>
      </c>
      <c r="B308" s="44" t="s">
        <v>298</v>
      </c>
      <c r="C308" s="4" t="s">
        <v>157</v>
      </c>
      <c r="D308" s="5" t="s">
        <v>25</v>
      </c>
      <c r="E308" s="66" t="s">
        <v>30</v>
      </c>
      <c r="F308" s="34" t="s">
        <v>11</v>
      </c>
    </row>
    <row r="309" spans="1:6" ht="30" customHeight="1">
      <c r="A309" s="48">
        <v>310</v>
      </c>
      <c r="B309" s="44" t="s">
        <v>299</v>
      </c>
      <c r="C309" s="4" t="s">
        <v>157</v>
      </c>
      <c r="D309" s="5" t="s">
        <v>25</v>
      </c>
      <c r="E309" s="66" t="s">
        <v>30</v>
      </c>
      <c r="F309" s="34" t="s">
        <v>11</v>
      </c>
    </row>
    <row r="310" spans="1:6" ht="30" customHeight="1">
      <c r="A310" s="48">
        <v>311</v>
      </c>
      <c r="B310" s="44" t="s">
        <v>300</v>
      </c>
      <c r="C310" s="4" t="s">
        <v>157</v>
      </c>
      <c r="D310" s="5" t="s">
        <v>25</v>
      </c>
      <c r="E310" s="66" t="s">
        <v>30</v>
      </c>
      <c r="F310" s="34" t="s">
        <v>11</v>
      </c>
    </row>
    <row r="311" spans="1:6" ht="30" customHeight="1">
      <c r="A311" s="48">
        <v>312</v>
      </c>
      <c r="B311" s="44" t="s">
        <v>301</v>
      </c>
      <c r="C311" s="4" t="s">
        <v>157</v>
      </c>
      <c r="D311" s="5" t="s">
        <v>25</v>
      </c>
      <c r="E311" s="66" t="s">
        <v>30</v>
      </c>
      <c r="F311" s="34" t="s">
        <v>11</v>
      </c>
    </row>
    <row r="312" spans="1:6" ht="30" customHeight="1">
      <c r="A312" s="48">
        <v>313</v>
      </c>
      <c r="B312" s="44" t="s">
        <v>302</v>
      </c>
      <c r="C312" s="4" t="s">
        <v>157</v>
      </c>
      <c r="D312" s="5" t="s">
        <v>25</v>
      </c>
      <c r="E312" s="66" t="s">
        <v>30</v>
      </c>
      <c r="F312" s="34" t="s">
        <v>11</v>
      </c>
    </row>
    <row r="313" spans="1:6" ht="30" customHeight="1">
      <c r="A313" s="48">
        <v>314</v>
      </c>
      <c r="B313" s="44" t="s">
        <v>303</v>
      </c>
      <c r="C313" s="4" t="s">
        <v>157</v>
      </c>
      <c r="D313" s="5" t="s">
        <v>25</v>
      </c>
      <c r="E313" s="66" t="s">
        <v>304</v>
      </c>
      <c r="F313" s="34" t="s">
        <v>11</v>
      </c>
    </row>
    <row r="314" spans="1:6" ht="30" customHeight="1">
      <c r="A314" s="48">
        <v>315</v>
      </c>
      <c r="B314" s="44" t="s">
        <v>305</v>
      </c>
      <c r="C314" s="4" t="s">
        <v>157</v>
      </c>
      <c r="D314" s="5" t="s">
        <v>25</v>
      </c>
      <c r="E314" s="66" t="s">
        <v>14</v>
      </c>
      <c r="F314" s="34" t="s">
        <v>11</v>
      </c>
    </row>
    <row r="315" spans="1:6" ht="30" customHeight="1">
      <c r="A315" s="48">
        <v>316</v>
      </c>
      <c r="B315" s="44" t="s">
        <v>306</v>
      </c>
      <c r="C315" s="4" t="s">
        <v>157</v>
      </c>
      <c r="D315" s="5" t="s">
        <v>25</v>
      </c>
      <c r="E315" s="66" t="s">
        <v>14</v>
      </c>
      <c r="F315" s="34" t="s">
        <v>11</v>
      </c>
    </row>
    <row r="316" spans="1:6" ht="30" customHeight="1">
      <c r="A316" s="48">
        <v>317</v>
      </c>
      <c r="B316" s="44" t="s">
        <v>307</v>
      </c>
      <c r="C316" s="4" t="s">
        <v>157</v>
      </c>
      <c r="D316" s="5" t="s">
        <v>25</v>
      </c>
      <c r="E316" s="66" t="s">
        <v>14</v>
      </c>
      <c r="F316" s="34" t="s">
        <v>11</v>
      </c>
    </row>
    <row r="317" spans="1:6" ht="30" customHeight="1">
      <c r="A317" s="48">
        <v>318</v>
      </c>
      <c r="B317" s="44" t="s">
        <v>308</v>
      </c>
      <c r="C317" s="4" t="s">
        <v>157</v>
      </c>
      <c r="D317" s="5" t="s">
        <v>25</v>
      </c>
      <c r="E317" s="66" t="s">
        <v>14</v>
      </c>
      <c r="F317" s="34" t="s">
        <v>11</v>
      </c>
    </row>
    <row r="318" spans="1:6" ht="30" customHeight="1">
      <c r="A318" s="48">
        <v>319</v>
      </c>
      <c r="B318" s="44" t="s">
        <v>309</v>
      </c>
      <c r="C318" s="4" t="s">
        <v>157</v>
      </c>
      <c r="D318" s="5" t="s">
        <v>25</v>
      </c>
      <c r="E318" s="66" t="s">
        <v>14</v>
      </c>
      <c r="F318" s="34" t="s">
        <v>11</v>
      </c>
    </row>
    <row r="319" spans="1:6" ht="30" customHeight="1">
      <c r="A319" s="48">
        <v>320</v>
      </c>
      <c r="B319" s="44" t="s">
        <v>310</v>
      </c>
      <c r="C319" s="4" t="s">
        <v>157</v>
      </c>
      <c r="D319" s="5" t="s">
        <v>25</v>
      </c>
      <c r="E319" s="65" t="s">
        <v>30</v>
      </c>
      <c r="F319" s="34" t="s">
        <v>11</v>
      </c>
    </row>
    <row r="320" spans="1:6" ht="39" customHeight="1">
      <c r="A320" s="48">
        <v>321</v>
      </c>
      <c r="B320" s="44" t="s">
        <v>311</v>
      </c>
      <c r="C320" s="4" t="s">
        <v>157</v>
      </c>
      <c r="D320" s="5" t="s">
        <v>25</v>
      </c>
      <c r="E320" s="65" t="s">
        <v>30</v>
      </c>
      <c r="F320" s="34" t="s">
        <v>11</v>
      </c>
    </row>
    <row r="321" spans="1:6" ht="35.25" customHeight="1">
      <c r="A321" s="48">
        <v>322</v>
      </c>
      <c r="B321" s="44" t="s">
        <v>312</v>
      </c>
      <c r="C321" s="4" t="s">
        <v>157</v>
      </c>
      <c r="D321" s="5" t="s">
        <v>25</v>
      </c>
      <c r="E321" s="65" t="s">
        <v>30</v>
      </c>
      <c r="F321" s="34" t="s">
        <v>11</v>
      </c>
    </row>
    <row r="322" spans="1:6" ht="34.5" customHeight="1">
      <c r="A322" s="48">
        <v>323</v>
      </c>
      <c r="B322" s="44" t="s">
        <v>313</v>
      </c>
      <c r="C322" s="4" t="s">
        <v>157</v>
      </c>
      <c r="D322" s="5" t="s">
        <v>25</v>
      </c>
      <c r="E322" s="65" t="s">
        <v>30</v>
      </c>
      <c r="F322" s="34" t="s">
        <v>11</v>
      </c>
    </row>
    <row r="323" spans="1:6" ht="30" customHeight="1">
      <c r="A323" s="48">
        <v>324</v>
      </c>
      <c r="B323" s="44" t="s">
        <v>314</v>
      </c>
      <c r="C323" s="4" t="s">
        <v>157</v>
      </c>
      <c r="D323" s="5" t="s">
        <v>25</v>
      </c>
      <c r="E323" s="65" t="s">
        <v>30</v>
      </c>
      <c r="F323" s="34" t="s">
        <v>11</v>
      </c>
    </row>
    <row r="324" spans="1:6" ht="30" customHeight="1">
      <c r="A324" s="48">
        <v>325</v>
      </c>
      <c r="B324" s="44" t="s">
        <v>315</v>
      </c>
      <c r="C324" s="4" t="s">
        <v>157</v>
      </c>
      <c r="D324" s="5" t="s">
        <v>25</v>
      </c>
      <c r="E324" s="65" t="s">
        <v>30</v>
      </c>
      <c r="F324" s="34" t="s">
        <v>11</v>
      </c>
    </row>
    <row r="325" spans="1:6" ht="30" customHeight="1">
      <c r="A325" s="48">
        <v>326</v>
      </c>
      <c r="B325" s="44" t="s">
        <v>316</v>
      </c>
      <c r="C325" s="4" t="s">
        <v>157</v>
      </c>
      <c r="D325" s="5" t="s">
        <v>25</v>
      </c>
      <c r="E325" s="65" t="s">
        <v>30</v>
      </c>
      <c r="F325" s="34" t="s">
        <v>11</v>
      </c>
    </row>
    <row r="326" spans="1:6" ht="30" customHeight="1">
      <c r="A326" s="48">
        <v>327</v>
      </c>
      <c r="B326" s="44" t="s">
        <v>317</v>
      </c>
      <c r="C326" s="4" t="s">
        <v>157</v>
      </c>
      <c r="D326" s="5" t="s">
        <v>25</v>
      </c>
      <c r="E326" s="65" t="s">
        <v>144</v>
      </c>
      <c r="F326" s="34" t="s">
        <v>11</v>
      </c>
    </row>
    <row r="327" spans="1:6" ht="30" customHeight="1">
      <c r="A327" s="48">
        <v>328</v>
      </c>
      <c r="B327" s="44" t="s">
        <v>318</v>
      </c>
      <c r="C327" s="4" t="s">
        <v>157</v>
      </c>
      <c r="D327" s="5" t="s">
        <v>25</v>
      </c>
      <c r="E327" s="65" t="s">
        <v>30</v>
      </c>
      <c r="F327" s="34" t="s">
        <v>11</v>
      </c>
    </row>
    <row r="328" spans="1:6" ht="30" customHeight="1">
      <c r="A328" s="48">
        <v>329</v>
      </c>
      <c r="B328" s="44" t="s">
        <v>319</v>
      </c>
      <c r="C328" s="4" t="s">
        <v>157</v>
      </c>
      <c r="D328" s="5" t="s">
        <v>25</v>
      </c>
      <c r="E328" s="65" t="s">
        <v>30</v>
      </c>
      <c r="F328" s="34" t="s">
        <v>11</v>
      </c>
    </row>
    <row r="329" spans="1:6" ht="30" customHeight="1">
      <c r="A329" s="48">
        <v>330</v>
      </c>
      <c r="B329" s="44" t="s">
        <v>320</v>
      </c>
      <c r="C329" s="4" t="s">
        <v>157</v>
      </c>
      <c r="D329" s="5" t="s">
        <v>25</v>
      </c>
      <c r="E329" s="65" t="s">
        <v>30</v>
      </c>
      <c r="F329" s="34" t="s">
        <v>11</v>
      </c>
    </row>
    <row r="330" spans="1:6" ht="30" customHeight="1">
      <c r="A330" s="48">
        <v>331</v>
      </c>
      <c r="B330" s="44" t="s">
        <v>321</v>
      </c>
      <c r="C330" s="4" t="s">
        <v>157</v>
      </c>
      <c r="D330" s="5" t="s">
        <v>25</v>
      </c>
      <c r="E330" s="65" t="s">
        <v>30</v>
      </c>
      <c r="F330" s="34" t="s">
        <v>11</v>
      </c>
    </row>
    <row r="331" spans="1:6" ht="30" customHeight="1">
      <c r="A331" s="48">
        <v>332</v>
      </c>
      <c r="B331" s="44" t="s">
        <v>322</v>
      </c>
      <c r="C331" s="4" t="s">
        <v>157</v>
      </c>
      <c r="D331" s="5" t="s">
        <v>25</v>
      </c>
      <c r="E331" s="65" t="s">
        <v>30</v>
      </c>
      <c r="F331" s="34" t="s">
        <v>11</v>
      </c>
    </row>
    <row r="332" spans="1:6" ht="30" customHeight="1">
      <c r="A332" s="48">
        <v>333</v>
      </c>
      <c r="B332" s="44" t="s">
        <v>323</v>
      </c>
      <c r="C332" s="4" t="s">
        <v>157</v>
      </c>
      <c r="D332" s="5" t="s">
        <v>25</v>
      </c>
      <c r="E332" s="65" t="s">
        <v>30</v>
      </c>
      <c r="F332" s="34" t="s">
        <v>11</v>
      </c>
    </row>
    <row r="333" spans="1:6" ht="30" customHeight="1">
      <c r="A333" s="48">
        <v>334</v>
      </c>
      <c r="B333" s="44" t="s">
        <v>324</v>
      </c>
      <c r="C333" s="4" t="s">
        <v>157</v>
      </c>
      <c r="D333" s="5" t="s">
        <v>25</v>
      </c>
      <c r="E333" s="65" t="s">
        <v>30</v>
      </c>
      <c r="F333" s="34" t="s">
        <v>11</v>
      </c>
    </row>
    <row r="334" spans="1:6" ht="30" customHeight="1">
      <c r="A334" s="48">
        <v>335</v>
      </c>
      <c r="B334" s="44" t="s">
        <v>325</v>
      </c>
      <c r="C334" s="4" t="s">
        <v>157</v>
      </c>
      <c r="D334" s="5" t="s">
        <v>25</v>
      </c>
      <c r="E334" s="65" t="s">
        <v>30</v>
      </c>
      <c r="F334" s="34" t="s">
        <v>11</v>
      </c>
    </row>
    <row r="335" spans="1:6" ht="30" customHeight="1">
      <c r="A335" s="48">
        <v>336</v>
      </c>
      <c r="B335" s="44" t="s">
        <v>326</v>
      </c>
      <c r="C335" s="4" t="s">
        <v>8</v>
      </c>
      <c r="D335" s="5" t="s">
        <v>327</v>
      </c>
      <c r="E335" s="65" t="s">
        <v>30</v>
      </c>
      <c r="F335" s="34" t="s">
        <v>11</v>
      </c>
    </row>
    <row r="336" spans="1:6" ht="30" customHeight="1">
      <c r="A336" s="48">
        <v>337</v>
      </c>
      <c r="B336" s="44" t="s">
        <v>328</v>
      </c>
      <c r="C336" s="4" t="s">
        <v>8</v>
      </c>
      <c r="D336" s="5" t="s">
        <v>327</v>
      </c>
      <c r="E336" s="65" t="s">
        <v>30</v>
      </c>
      <c r="F336" s="34" t="s">
        <v>11</v>
      </c>
    </row>
    <row r="337" spans="1:6" ht="30" customHeight="1">
      <c r="A337" s="48">
        <v>338</v>
      </c>
      <c r="B337" s="44" t="s">
        <v>329</v>
      </c>
      <c r="C337" s="4" t="s">
        <v>8</v>
      </c>
      <c r="D337" s="5" t="s">
        <v>327</v>
      </c>
      <c r="E337" s="65" t="s">
        <v>30</v>
      </c>
      <c r="F337" s="34" t="s">
        <v>11</v>
      </c>
    </row>
    <row r="338" spans="1:6" ht="30" customHeight="1">
      <c r="A338" s="48">
        <v>339</v>
      </c>
      <c r="B338" s="44" t="s">
        <v>330</v>
      </c>
      <c r="C338" s="4" t="s">
        <v>8</v>
      </c>
      <c r="D338" s="5" t="s">
        <v>327</v>
      </c>
      <c r="E338" s="65" t="s">
        <v>30</v>
      </c>
      <c r="F338" s="34" t="s">
        <v>11</v>
      </c>
    </row>
    <row r="339" spans="1:6" ht="30" customHeight="1">
      <c r="A339" s="48">
        <v>340</v>
      </c>
      <c r="B339" s="44" t="s">
        <v>331</v>
      </c>
      <c r="C339" s="4" t="s">
        <v>8</v>
      </c>
      <c r="D339" s="5" t="s">
        <v>327</v>
      </c>
      <c r="E339" s="65" t="s">
        <v>30</v>
      </c>
      <c r="F339" s="34" t="s">
        <v>11</v>
      </c>
    </row>
    <row r="340" spans="1:6" ht="30" customHeight="1">
      <c r="A340" s="48">
        <v>341</v>
      </c>
      <c r="B340" s="44" t="s">
        <v>332</v>
      </c>
      <c r="C340" s="4" t="s">
        <v>8</v>
      </c>
      <c r="D340" s="5" t="s">
        <v>327</v>
      </c>
      <c r="E340" s="65" t="s">
        <v>30</v>
      </c>
      <c r="F340" s="34" t="s">
        <v>11</v>
      </c>
    </row>
    <row r="341" spans="1:6" ht="30" customHeight="1">
      <c r="A341" s="48">
        <v>342</v>
      </c>
      <c r="B341" s="44" t="s">
        <v>333</v>
      </c>
      <c r="C341" s="4" t="s">
        <v>8</v>
      </c>
      <c r="D341" s="5" t="s">
        <v>327</v>
      </c>
      <c r="E341" s="65" t="s">
        <v>30</v>
      </c>
      <c r="F341" s="34" t="s">
        <v>11</v>
      </c>
    </row>
    <row r="342" spans="1:6" ht="30" customHeight="1">
      <c r="A342" s="48">
        <v>343</v>
      </c>
      <c r="B342" s="44" t="s">
        <v>334</v>
      </c>
      <c r="C342" s="4" t="s">
        <v>8</v>
      </c>
      <c r="D342" s="5" t="s">
        <v>327</v>
      </c>
      <c r="E342" s="65" t="s">
        <v>30</v>
      </c>
      <c r="F342" s="34" t="s">
        <v>11</v>
      </c>
    </row>
    <row r="343" spans="1:6" ht="30" customHeight="1">
      <c r="A343" s="48">
        <v>344</v>
      </c>
      <c r="B343" s="44" t="s">
        <v>335</v>
      </c>
      <c r="C343" s="4" t="s">
        <v>8</v>
      </c>
      <c r="D343" s="5" t="s">
        <v>327</v>
      </c>
      <c r="E343" s="65" t="s">
        <v>30</v>
      </c>
      <c r="F343" s="34" t="s">
        <v>11</v>
      </c>
    </row>
    <row r="344" spans="1:6" ht="30" customHeight="1">
      <c r="A344" s="48">
        <v>345</v>
      </c>
      <c r="B344" s="44" t="s">
        <v>336</v>
      </c>
      <c r="C344" s="4" t="s">
        <v>8</v>
      </c>
      <c r="D344" s="5" t="s">
        <v>327</v>
      </c>
      <c r="E344" s="65" t="s">
        <v>30</v>
      </c>
      <c r="F344" s="34" t="s">
        <v>11</v>
      </c>
    </row>
    <row r="345" spans="1:6" ht="30" customHeight="1">
      <c r="A345" s="48">
        <v>346</v>
      </c>
      <c r="B345" s="44" t="s">
        <v>337</v>
      </c>
      <c r="C345" s="4" t="s">
        <v>8</v>
      </c>
      <c r="D345" s="5" t="s">
        <v>327</v>
      </c>
      <c r="E345" s="65" t="s">
        <v>30</v>
      </c>
      <c r="F345" s="34" t="s">
        <v>11</v>
      </c>
    </row>
    <row r="346" spans="1:6" ht="30" customHeight="1">
      <c r="A346" s="48">
        <v>347</v>
      </c>
      <c r="B346" s="44" t="s">
        <v>338</v>
      </c>
      <c r="C346" s="4" t="s">
        <v>85</v>
      </c>
      <c r="D346" s="5" t="s">
        <v>327</v>
      </c>
      <c r="E346" s="65" t="s">
        <v>30</v>
      </c>
      <c r="F346" s="34" t="s">
        <v>11</v>
      </c>
    </row>
    <row r="347" spans="1:6" ht="30" customHeight="1">
      <c r="A347" s="48">
        <v>348</v>
      </c>
      <c r="B347" s="44" t="s">
        <v>339</v>
      </c>
      <c r="C347" s="4" t="s">
        <v>85</v>
      </c>
      <c r="D347" s="5" t="s">
        <v>327</v>
      </c>
      <c r="E347" s="65" t="s">
        <v>30</v>
      </c>
      <c r="F347" s="34" t="s">
        <v>11</v>
      </c>
    </row>
    <row r="348" spans="1:6" ht="30" customHeight="1">
      <c r="A348" s="48">
        <v>349</v>
      </c>
      <c r="B348" s="44" t="s">
        <v>340</v>
      </c>
      <c r="C348" s="4" t="s">
        <v>85</v>
      </c>
      <c r="D348" s="5" t="s">
        <v>327</v>
      </c>
      <c r="E348" s="65" t="s">
        <v>30</v>
      </c>
      <c r="F348" s="34" t="s">
        <v>11</v>
      </c>
    </row>
    <row r="349" spans="1:6" ht="30" customHeight="1">
      <c r="A349" s="48">
        <v>350</v>
      </c>
      <c r="B349" s="44" t="s">
        <v>341</v>
      </c>
      <c r="C349" s="4" t="s">
        <v>85</v>
      </c>
      <c r="D349" s="5" t="s">
        <v>327</v>
      </c>
      <c r="E349" s="65" t="s">
        <v>30</v>
      </c>
      <c r="F349" s="34" t="s">
        <v>11</v>
      </c>
    </row>
    <row r="350" spans="1:6" ht="30" customHeight="1">
      <c r="A350" s="48">
        <v>351</v>
      </c>
      <c r="B350" s="44" t="s">
        <v>342</v>
      </c>
      <c r="C350" s="4" t="s">
        <v>85</v>
      </c>
      <c r="D350" s="5" t="s">
        <v>327</v>
      </c>
      <c r="E350" s="65" t="s">
        <v>30</v>
      </c>
      <c r="F350" s="34" t="s">
        <v>11</v>
      </c>
    </row>
    <row r="351" spans="1:6" ht="30" customHeight="1">
      <c r="A351" s="48">
        <v>352</v>
      </c>
      <c r="B351" s="44" t="s">
        <v>343</v>
      </c>
      <c r="C351" s="4" t="s">
        <v>85</v>
      </c>
      <c r="D351" s="5" t="s">
        <v>327</v>
      </c>
      <c r="E351" s="65" t="s">
        <v>30</v>
      </c>
      <c r="F351" s="34" t="s">
        <v>11</v>
      </c>
    </row>
    <row r="352" spans="1:6" ht="30" customHeight="1">
      <c r="A352" s="48">
        <v>353</v>
      </c>
      <c r="B352" s="44" t="s">
        <v>344</v>
      </c>
      <c r="C352" s="4" t="s">
        <v>85</v>
      </c>
      <c r="D352" s="5" t="s">
        <v>327</v>
      </c>
      <c r="E352" s="65" t="s">
        <v>30</v>
      </c>
      <c r="F352" s="34" t="s">
        <v>11</v>
      </c>
    </row>
    <row r="353" spans="1:6" ht="30" customHeight="1">
      <c r="A353" s="48">
        <v>354</v>
      </c>
      <c r="B353" s="44" t="s">
        <v>345</v>
      </c>
      <c r="C353" s="4" t="s">
        <v>85</v>
      </c>
      <c r="D353" s="5" t="s">
        <v>327</v>
      </c>
      <c r="E353" s="65" t="s">
        <v>30</v>
      </c>
      <c r="F353" s="34" t="s">
        <v>11</v>
      </c>
    </row>
    <row r="354" spans="1:6" ht="30" customHeight="1">
      <c r="A354" s="48">
        <v>355</v>
      </c>
      <c r="B354" s="44" t="s">
        <v>346</v>
      </c>
      <c r="C354" s="4" t="s">
        <v>85</v>
      </c>
      <c r="D354" s="5" t="s">
        <v>327</v>
      </c>
      <c r="E354" s="65" t="s">
        <v>30</v>
      </c>
      <c r="F354" s="34" t="s">
        <v>11</v>
      </c>
    </row>
    <row r="355" spans="1:6" ht="30" customHeight="1">
      <c r="A355" s="48">
        <v>356</v>
      </c>
      <c r="B355" s="44" t="s">
        <v>347</v>
      </c>
      <c r="C355" s="4" t="s">
        <v>85</v>
      </c>
      <c r="D355" s="5" t="s">
        <v>327</v>
      </c>
      <c r="E355" s="65" t="s">
        <v>30</v>
      </c>
      <c r="F355" s="34" t="s">
        <v>11</v>
      </c>
    </row>
    <row r="356" spans="1:6" ht="30" customHeight="1">
      <c r="A356" s="48">
        <v>357</v>
      </c>
      <c r="B356" s="44" t="s">
        <v>348</v>
      </c>
      <c r="C356" s="4" t="s">
        <v>119</v>
      </c>
      <c r="D356" s="5" t="s">
        <v>327</v>
      </c>
      <c r="E356" s="65" t="s">
        <v>30</v>
      </c>
      <c r="F356" s="34" t="s">
        <v>11</v>
      </c>
    </row>
    <row r="357" spans="1:6" ht="30" customHeight="1">
      <c r="A357" s="48">
        <v>358</v>
      </c>
      <c r="B357" s="44" t="s">
        <v>349</v>
      </c>
      <c r="C357" s="4" t="s">
        <v>119</v>
      </c>
      <c r="D357" s="5" t="s">
        <v>327</v>
      </c>
      <c r="E357" s="65" t="s">
        <v>30</v>
      </c>
      <c r="F357" s="34" t="s">
        <v>11</v>
      </c>
    </row>
    <row r="358" spans="1:6" ht="30" customHeight="1">
      <c r="A358" s="48">
        <v>359</v>
      </c>
      <c r="B358" s="44" t="s">
        <v>350</v>
      </c>
      <c r="C358" s="4" t="s">
        <v>119</v>
      </c>
      <c r="D358" s="5" t="s">
        <v>327</v>
      </c>
      <c r="E358" s="65" t="s">
        <v>30</v>
      </c>
      <c r="F358" s="34" t="s">
        <v>11</v>
      </c>
    </row>
    <row r="359" spans="1:6" ht="30" customHeight="1">
      <c r="A359" s="48">
        <v>360</v>
      </c>
      <c r="B359" s="44" t="s">
        <v>351</v>
      </c>
      <c r="C359" s="4" t="s">
        <v>119</v>
      </c>
      <c r="D359" s="5" t="s">
        <v>327</v>
      </c>
      <c r="E359" s="65" t="s">
        <v>30</v>
      </c>
      <c r="F359" s="34" t="s">
        <v>11</v>
      </c>
    </row>
    <row r="360" spans="1:6" ht="30" customHeight="1">
      <c r="A360" s="48">
        <v>361</v>
      </c>
      <c r="B360" s="44" t="s">
        <v>352</v>
      </c>
      <c r="C360" s="4" t="s">
        <v>119</v>
      </c>
      <c r="D360" s="5" t="s">
        <v>327</v>
      </c>
      <c r="E360" s="65" t="s">
        <v>30</v>
      </c>
      <c r="F360" s="34" t="s">
        <v>11</v>
      </c>
    </row>
    <row r="361" spans="1:6" ht="30" customHeight="1">
      <c r="A361" s="48">
        <v>362</v>
      </c>
      <c r="B361" s="44" t="s">
        <v>353</v>
      </c>
      <c r="C361" s="4" t="s">
        <v>119</v>
      </c>
      <c r="D361" s="5" t="s">
        <v>327</v>
      </c>
      <c r="E361" s="65" t="s">
        <v>30</v>
      </c>
      <c r="F361" s="34" t="s">
        <v>11</v>
      </c>
    </row>
    <row r="362" spans="1:6" ht="30" customHeight="1">
      <c r="A362" s="48">
        <v>363</v>
      </c>
      <c r="B362" s="44" t="s">
        <v>354</v>
      </c>
      <c r="C362" s="4" t="s">
        <v>119</v>
      </c>
      <c r="D362" s="5" t="s">
        <v>327</v>
      </c>
      <c r="E362" s="65" t="s">
        <v>30</v>
      </c>
      <c r="F362" s="34" t="s">
        <v>11</v>
      </c>
    </row>
    <row r="363" spans="1:6" ht="30" customHeight="1">
      <c r="A363" s="48">
        <v>364</v>
      </c>
      <c r="B363" s="44" t="s">
        <v>355</v>
      </c>
      <c r="C363" s="4" t="s">
        <v>119</v>
      </c>
      <c r="D363" s="5" t="s">
        <v>327</v>
      </c>
      <c r="E363" s="65" t="s">
        <v>30</v>
      </c>
      <c r="F363" s="34" t="s">
        <v>11</v>
      </c>
    </row>
    <row r="364" spans="1:6" ht="30" customHeight="1">
      <c r="A364" s="48">
        <v>365</v>
      </c>
      <c r="B364" s="44" t="s">
        <v>356</v>
      </c>
      <c r="C364" s="4" t="s">
        <v>119</v>
      </c>
      <c r="D364" s="5" t="s">
        <v>327</v>
      </c>
      <c r="E364" s="65" t="s">
        <v>30</v>
      </c>
      <c r="F364" s="34" t="s">
        <v>11</v>
      </c>
    </row>
    <row r="365" spans="1:6" ht="30" customHeight="1">
      <c r="A365" s="48">
        <v>366</v>
      </c>
      <c r="B365" s="44" t="s">
        <v>357</v>
      </c>
      <c r="C365" s="4" t="s">
        <v>119</v>
      </c>
      <c r="D365" s="5" t="s">
        <v>327</v>
      </c>
      <c r="E365" s="65" t="s">
        <v>30</v>
      </c>
      <c r="F365" s="34" t="s">
        <v>11</v>
      </c>
    </row>
    <row r="366" spans="1:6" ht="30" customHeight="1">
      <c r="A366" s="48">
        <v>367</v>
      </c>
      <c r="B366" s="44" t="s">
        <v>358</v>
      </c>
      <c r="C366" s="4" t="s">
        <v>119</v>
      </c>
      <c r="D366" s="5" t="s">
        <v>327</v>
      </c>
      <c r="E366" s="65" t="s">
        <v>30</v>
      </c>
      <c r="F366" s="34" t="s">
        <v>11</v>
      </c>
    </row>
    <row r="367" spans="1:6" ht="30" customHeight="1">
      <c r="A367" s="48">
        <v>368</v>
      </c>
      <c r="B367" s="44" t="s">
        <v>359</v>
      </c>
      <c r="C367" s="4" t="s">
        <v>157</v>
      </c>
      <c r="D367" s="5" t="s">
        <v>327</v>
      </c>
      <c r="E367" s="65" t="s">
        <v>30</v>
      </c>
      <c r="F367" s="34" t="s">
        <v>11</v>
      </c>
    </row>
    <row r="368" spans="1:6" ht="30" customHeight="1">
      <c r="A368" s="48">
        <v>369</v>
      </c>
      <c r="B368" s="44" t="s">
        <v>360</v>
      </c>
      <c r="C368" s="4" t="s">
        <v>157</v>
      </c>
      <c r="D368" s="5" t="s">
        <v>327</v>
      </c>
      <c r="E368" s="65" t="s">
        <v>30</v>
      </c>
      <c r="F368" s="34" t="s">
        <v>11</v>
      </c>
    </row>
    <row r="369" spans="1:6" ht="30" customHeight="1">
      <c r="A369" s="48">
        <v>370</v>
      </c>
      <c r="B369" s="44" t="s">
        <v>361</v>
      </c>
      <c r="C369" s="4" t="s">
        <v>157</v>
      </c>
      <c r="D369" s="5" t="s">
        <v>327</v>
      </c>
      <c r="E369" s="65" t="s">
        <v>30</v>
      </c>
      <c r="F369" s="34" t="s">
        <v>11</v>
      </c>
    </row>
    <row r="370" spans="1:6" ht="30" customHeight="1">
      <c r="A370" s="48">
        <v>371</v>
      </c>
      <c r="B370" s="44" t="s">
        <v>362</v>
      </c>
      <c r="C370" s="4" t="s">
        <v>157</v>
      </c>
      <c r="D370" s="5" t="s">
        <v>327</v>
      </c>
      <c r="E370" s="65" t="s">
        <v>30</v>
      </c>
      <c r="F370" s="34" t="s">
        <v>11</v>
      </c>
    </row>
    <row r="371" spans="1:6" ht="30" customHeight="1">
      <c r="A371" s="48">
        <v>372</v>
      </c>
      <c r="B371" s="44" t="s">
        <v>363</v>
      </c>
      <c r="C371" s="4" t="s">
        <v>157</v>
      </c>
      <c r="D371" s="5" t="s">
        <v>327</v>
      </c>
      <c r="E371" s="65" t="s">
        <v>30</v>
      </c>
      <c r="F371" s="34" t="s">
        <v>11</v>
      </c>
    </row>
    <row r="372" spans="1:6" ht="30" customHeight="1">
      <c r="A372" s="48">
        <v>373</v>
      </c>
      <c r="B372" s="44" t="s">
        <v>364</v>
      </c>
      <c r="C372" s="4" t="s">
        <v>157</v>
      </c>
      <c r="D372" s="5" t="s">
        <v>327</v>
      </c>
      <c r="E372" s="65" t="s">
        <v>30</v>
      </c>
      <c r="F372" s="34" t="s">
        <v>11</v>
      </c>
    </row>
    <row r="373" spans="1:6" ht="30" customHeight="1">
      <c r="A373" s="48">
        <v>374</v>
      </c>
      <c r="B373" s="44" t="s">
        <v>365</v>
      </c>
      <c r="C373" s="4" t="s">
        <v>157</v>
      </c>
      <c r="D373" s="5" t="s">
        <v>327</v>
      </c>
      <c r="E373" s="65" t="s">
        <v>30</v>
      </c>
      <c r="F373" s="34" t="s">
        <v>11</v>
      </c>
    </row>
    <row r="374" spans="1:6" ht="30" customHeight="1">
      <c r="A374" s="48">
        <v>375</v>
      </c>
      <c r="B374" s="44" t="s">
        <v>366</v>
      </c>
      <c r="C374" s="4" t="s">
        <v>157</v>
      </c>
      <c r="D374" s="5" t="s">
        <v>327</v>
      </c>
      <c r="E374" s="65" t="s">
        <v>30</v>
      </c>
      <c r="F374" s="34" t="s">
        <v>11</v>
      </c>
    </row>
    <row r="375" spans="1:6" ht="30" customHeight="1">
      <c r="A375" s="48">
        <v>376</v>
      </c>
      <c r="B375" s="44" t="s">
        <v>367</v>
      </c>
      <c r="C375" s="4" t="s">
        <v>157</v>
      </c>
      <c r="D375" s="5" t="s">
        <v>327</v>
      </c>
      <c r="E375" s="65" t="s">
        <v>30</v>
      </c>
      <c r="F375" s="34" t="s">
        <v>11</v>
      </c>
    </row>
    <row r="376" spans="1:6" ht="30" customHeight="1">
      <c r="A376" s="48">
        <v>377</v>
      </c>
      <c r="B376" s="44" t="s">
        <v>368</v>
      </c>
      <c r="C376" s="4" t="s">
        <v>157</v>
      </c>
      <c r="D376" s="5" t="s">
        <v>327</v>
      </c>
      <c r="E376" s="65" t="s">
        <v>30</v>
      </c>
      <c r="F376" s="34" t="s">
        <v>11</v>
      </c>
    </row>
    <row r="377" spans="1:6" ht="30" customHeight="1">
      <c r="A377" s="48">
        <v>378</v>
      </c>
      <c r="B377" s="44" t="s">
        <v>369</v>
      </c>
      <c r="C377" s="4" t="s">
        <v>157</v>
      </c>
      <c r="D377" s="5" t="s">
        <v>327</v>
      </c>
      <c r="E377" s="65" t="s">
        <v>30</v>
      </c>
      <c r="F377" s="34" t="s">
        <v>11</v>
      </c>
    </row>
    <row r="378" spans="1:6" ht="30" customHeight="1">
      <c r="A378" s="48">
        <v>379</v>
      </c>
      <c r="B378" s="44" t="s">
        <v>370</v>
      </c>
      <c r="C378" s="4" t="s">
        <v>157</v>
      </c>
      <c r="D378" s="5" t="s">
        <v>327</v>
      </c>
      <c r="E378" s="65" t="s">
        <v>30</v>
      </c>
      <c r="F378" s="34" t="s">
        <v>11</v>
      </c>
    </row>
    <row r="379" spans="1:6" ht="30" customHeight="1">
      <c r="A379" s="48">
        <v>380</v>
      </c>
      <c r="B379" s="44" t="s">
        <v>371</v>
      </c>
      <c r="C379" s="4" t="s">
        <v>157</v>
      </c>
      <c r="D379" s="5" t="s">
        <v>327</v>
      </c>
      <c r="E379" s="65" t="s">
        <v>30</v>
      </c>
      <c r="F379" s="34" t="s">
        <v>11</v>
      </c>
    </row>
    <row r="380" spans="1:6" ht="30" customHeight="1">
      <c r="A380" s="48">
        <v>381</v>
      </c>
      <c r="B380" s="44" t="s">
        <v>372</v>
      </c>
      <c r="C380" s="4" t="s">
        <v>157</v>
      </c>
      <c r="D380" s="5" t="s">
        <v>327</v>
      </c>
      <c r="E380" s="65" t="s">
        <v>30</v>
      </c>
      <c r="F380" s="34" t="s">
        <v>11</v>
      </c>
    </row>
    <row r="381" spans="1:6" ht="30" customHeight="1">
      <c r="A381" s="48">
        <v>382</v>
      </c>
      <c r="B381" s="44" t="s">
        <v>373</v>
      </c>
      <c r="C381" s="4" t="s">
        <v>157</v>
      </c>
      <c r="D381" s="5" t="s">
        <v>327</v>
      </c>
      <c r="E381" s="65" t="s">
        <v>30</v>
      </c>
      <c r="F381" s="34" t="s">
        <v>11</v>
      </c>
    </row>
    <row r="382" spans="1:6" ht="30" customHeight="1">
      <c r="A382" s="48">
        <v>383</v>
      </c>
      <c r="B382" s="44" t="s">
        <v>374</v>
      </c>
      <c r="C382" s="4" t="s">
        <v>157</v>
      </c>
      <c r="D382" s="5" t="s">
        <v>327</v>
      </c>
      <c r="E382" s="65" t="s">
        <v>30</v>
      </c>
      <c r="F382" s="34" t="s">
        <v>11</v>
      </c>
    </row>
    <row r="383" spans="1:6" ht="30" customHeight="1">
      <c r="A383" s="48">
        <v>384</v>
      </c>
      <c r="B383" s="44" t="s">
        <v>375</v>
      </c>
      <c r="C383" s="4" t="s">
        <v>157</v>
      </c>
      <c r="D383" s="5" t="s">
        <v>327</v>
      </c>
      <c r="E383" s="65" t="s">
        <v>30</v>
      </c>
      <c r="F383" s="34" t="s">
        <v>11</v>
      </c>
    </row>
    <row r="384" spans="1:6" ht="30" customHeight="1">
      <c r="A384" s="48">
        <v>385</v>
      </c>
      <c r="B384" s="44" t="s">
        <v>376</v>
      </c>
      <c r="C384" s="4" t="s">
        <v>157</v>
      </c>
      <c r="D384" s="5" t="s">
        <v>327</v>
      </c>
      <c r="E384" s="65" t="s">
        <v>30</v>
      </c>
      <c r="F384" s="34" t="s">
        <v>11</v>
      </c>
    </row>
    <row r="385" spans="1:6" ht="30" customHeight="1">
      <c r="A385" s="48">
        <v>386</v>
      </c>
      <c r="B385" s="44" t="s">
        <v>377</v>
      </c>
      <c r="C385" s="4" t="s">
        <v>157</v>
      </c>
      <c r="D385" s="5" t="s">
        <v>327</v>
      </c>
      <c r="E385" s="65" t="s">
        <v>30</v>
      </c>
      <c r="F385" s="34" t="s">
        <v>11</v>
      </c>
    </row>
    <row r="386" spans="1:6" ht="30" customHeight="1">
      <c r="A386" s="48">
        <v>387</v>
      </c>
      <c r="B386" s="44" t="s">
        <v>378</v>
      </c>
      <c r="C386" s="4" t="s">
        <v>157</v>
      </c>
      <c r="D386" s="5" t="s">
        <v>327</v>
      </c>
      <c r="E386" s="65" t="s">
        <v>30</v>
      </c>
      <c r="F386" s="34" t="s">
        <v>11</v>
      </c>
    </row>
    <row r="387" spans="1:6" ht="30" customHeight="1">
      <c r="A387" s="48">
        <v>388</v>
      </c>
      <c r="B387" s="44" t="s">
        <v>379</v>
      </c>
      <c r="C387" s="4" t="s">
        <v>157</v>
      </c>
      <c r="D387" s="5" t="s">
        <v>327</v>
      </c>
      <c r="E387" s="65" t="s">
        <v>30</v>
      </c>
      <c r="F387" s="34" t="s">
        <v>11</v>
      </c>
    </row>
    <row r="388" spans="1:6" ht="30" customHeight="1">
      <c r="A388" s="48">
        <v>389</v>
      </c>
      <c r="B388" s="44" t="s">
        <v>380</v>
      </c>
      <c r="C388" s="4" t="s">
        <v>157</v>
      </c>
      <c r="D388" s="5" t="s">
        <v>327</v>
      </c>
      <c r="E388" s="65" t="s">
        <v>30</v>
      </c>
      <c r="F388" s="34" t="s">
        <v>11</v>
      </c>
    </row>
    <row r="389" spans="1:6" ht="30" customHeight="1">
      <c r="A389" s="48">
        <v>390</v>
      </c>
      <c r="B389" s="44" t="s">
        <v>381</v>
      </c>
      <c r="C389" s="4" t="s">
        <v>157</v>
      </c>
      <c r="D389" s="5" t="s">
        <v>327</v>
      </c>
      <c r="E389" s="65" t="s">
        <v>30</v>
      </c>
      <c r="F389" s="34" t="s">
        <v>11</v>
      </c>
    </row>
    <row r="390" spans="1:6" ht="30" customHeight="1">
      <c r="A390" s="48">
        <v>391</v>
      </c>
      <c r="B390" s="44" t="s">
        <v>382</v>
      </c>
      <c r="C390" s="4" t="s">
        <v>157</v>
      </c>
      <c r="D390" s="5" t="s">
        <v>327</v>
      </c>
      <c r="E390" s="65" t="s">
        <v>30</v>
      </c>
      <c r="F390" s="34" t="s">
        <v>11</v>
      </c>
    </row>
    <row r="391" spans="1:6" ht="30" customHeight="1">
      <c r="A391" s="48">
        <v>392</v>
      </c>
      <c r="B391" s="44" t="s">
        <v>383</v>
      </c>
      <c r="C391" s="4" t="s">
        <v>157</v>
      </c>
      <c r="D391" s="5" t="s">
        <v>327</v>
      </c>
      <c r="E391" s="65" t="s">
        <v>30</v>
      </c>
      <c r="F391" s="34" t="s">
        <v>11</v>
      </c>
    </row>
    <row r="392" spans="1:6" ht="30" customHeight="1">
      <c r="A392" s="48">
        <v>393</v>
      </c>
      <c r="B392" s="44" t="s">
        <v>384</v>
      </c>
      <c r="C392" s="4" t="s">
        <v>157</v>
      </c>
      <c r="D392" s="5" t="s">
        <v>327</v>
      </c>
      <c r="E392" s="65" t="s">
        <v>30</v>
      </c>
      <c r="F392" s="34" t="s">
        <v>11</v>
      </c>
    </row>
    <row r="393" spans="1:6" ht="30" customHeight="1">
      <c r="A393" s="48">
        <v>394</v>
      </c>
      <c r="B393" s="44" t="s">
        <v>385</v>
      </c>
      <c r="C393" s="4" t="s">
        <v>157</v>
      </c>
      <c r="D393" s="5" t="s">
        <v>327</v>
      </c>
      <c r="E393" s="65" t="s">
        <v>30</v>
      </c>
      <c r="F393" s="34" t="s">
        <v>11</v>
      </c>
    </row>
    <row r="394" spans="1:6" ht="30" customHeight="1">
      <c r="A394" s="48">
        <v>395</v>
      </c>
      <c r="B394" s="44" t="s">
        <v>386</v>
      </c>
      <c r="C394" s="4" t="s">
        <v>157</v>
      </c>
      <c r="D394" s="5" t="s">
        <v>327</v>
      </c>
      <c r="E394" s="65" t="s">
        <v>30</v>
      </c>
      <c r="F394" s="34" t="s">
        <v>11</v>
      </c>
    </row>
    <row r="395" spans="1:6" ht="30" customHeight="1">
      <c r="A395" s="48">
        <v>396</v>
      </c>
      <c r="B395" s="44" t="s">
        <v>387</v>
      </c>
      <c r="C395" s="4" t="s">
        <v>157</v>
      </c>
      <c r="D395" s="5" t="s">
        <v>327</v>
      </c>
      <c r="E395" s="65" t="s">
        <v>30</v>
      </c>
      <c r="F395" s="34" t="s">
        <v>11</v>
      </c>
    </row>
    <row r="396" spans="1:6" ht="30" customHeight="1">
      <c r="A396" s="48">
        <v>397</v>
      </c>
      <c r="B396" s="44" t="s">
        <v>388</v>
      </c>
      <c r="C396" s="4" t="s">
        <v>157</v>
      </c>
      <c r="D396" s="5" t="s">
        <v>327</v>
      </c>
      <c r="E396" s="65" t="s">
        <v>30</v>
      </c>
      <c r="F396" s="34" t="s">
        <v>11</v>
      </c>
    </row>
    <row r="397" spans="1:6" ht="30" customHeight="1">
      <c r="A397" s="48">
        <v>398</v>
      </c>
      <c r="B397" s="44" t="s">
        <v>389</v>
      </c>
      <c r="C397" s="4" t="s">
        <v>157</v>
      </c>
      <c r="D397" s="5" t="s">
        <v>327</v>
      </c>
      <c r="E397" s="65" t="s">
        <v>30</v>
      </c>
      <c r="F397" s="34" t="s">
        <v>11</v>
      </c>
    </row>
    <row r="398" spans="1:6" ht="30" customHeight="1">
      <c r="A398" s="48">
        <v>399</v>
      </c>
      <c r="B398" s="44" t="s">
        <v>390</v>
      </c>
      <c r="C398" s="4" t="s">
        <v>157</v>
      </c>
      <c r="D398" s="5" t="s">
        <v>327</v>
      </c>
      <c r="E398" s="65" t="s">
        <v>30</v>
      </c>
      <c r="F398" s="34" t="s">
        <v>11</v>
      </c>
    </row>
    <row r="399" spans="1:6" ht="30" customHeight="1">
      <c r="A399" s="48">
        <v>400</v>
      </c>
      <c r="B399" s="44" t="s">
        <v>391</v>
      </c>
      <c r="C399" s="4" t="s">
        <v>157</v>
      </c>
      <c r="D399" s="5" t="s">
        <v>327</v>
      </c>
      <c r="E399" s="65" t="s">
        <v>30</v>
      </c>
      <c r="F399" s="34" t="s">
        <v>11</v>
      </c>
    </row>
    <row r="400" spans="1:6" ht="30" customHeight="1">
      <c r="A400" s="48">
        <v>401</v>
      </c>
      <c r="B400" s="44" t="s">
        <v>392</v>
      </c>
      <c r="C400" s="4" t="s">
        <v>157</v>
      </c>
      <c r="D400" s="5" t="s">
        <v>327</v>
      </c>
      <c r="E400" s="65" t="s">
        <v>30</v>
      </c>
      <c r="F400" s="34" t="s">
        <v>11</v>
      </c>
    </row>
    <row r="401" spans="1:6" ht="30" customHeight="1">
      <c r="A401" s="48">
        <v>402</v>
      </c>
      <c r="B401" s="44" t="s">
        <v>393</v>
      </c>
      <c r="C401" s="4" t="s">
        <v>157</v>
      </c>
      <c r="D401" s="5" t="s">
        <v>327</v>
      </c>
      <c r="E401" s="65" t="s">
        <v>30</v>
      </c>
      <c r="F401" s="34" t="s">
        <v>11</v>
      </c>
    </row>
    <row r="402" spans="1:6" ht="30" customHeight="1">
      <c r="A402" s="48">
        <v>403</v>
      </c>
      <c r="B402" s="44" t="s">
        <v>394</v>
      </c>
      <c r="C402" s="4" t="s">
        <v>157</v>
      </c>
      <c r="D402" s="5" t="s">
        <v>327</v>
      </c>
      <c r="E402" s="65" t="s">
        <v>30</v>
      </c>
      <c r="F402" s="34" t="s">
        <v>11</v>
      </c>
    </row>
    <row r="403" spans="1:6" ht="30" customHeight="1">
      <c r="A403" s="48">
        <v>404</v>
      </c>
      <c r="B403" s="44" t="s">
        <v>395</v>
      </c>
      <c r="C403" s="4" t="s">
        <v>85</v>
      </c>
      <c r="D403" s="5" t="s">
        <v>327</v>
      </c>
      <c r="E403" s="65" t="s">
        <v>144</v>
      </c>
      <c r="F403" s="34" t="s">
        <v>11</v>
      </c>
    </row>
    <row r="404" spans="1:6" ht="30" customHeight="1">
      <c r="A404" s="48">
        <v>405</v>
      </c>
      <c r="B404" s="44" t="s">
        <v>396</v>
      </c>
      <c r="C404" s="4" t="s">
        <v>85</v>
      </c>
      <c r="D404" s="5" t="s">
        <v>327</v>
      </c>
      <c r="E404" s="65" t="s">
        <v>144</v>
      </c>
      <c r="F404" s="34" t="s">
        <v>11</v>
      </c>
    </row>
    <row r="405" spans="1:6" ht="30" customHeight="1">
      <c r="A405" s="48">
        <v>406</v>
      </c>
      <c r="B405" s="44" t="s">
        <v>397</v>
      </c>
      <c r="C405" s="4" t="s">
        <v>85</v>
      </c>
      <c r="D405" s="5" t="s">
        <v>327</v>
      </c>
      <c r="E405" s="65" t="s">
        <v>144</v>
      </c>
      <c r="F405" s="34" t="s">
        <v>11</v>
      </c>
    </row>
    <row r="406" spans="1:6" ht="30" customHeight="1">
      <c r="A406" s="48">
        <v>407</v>
      </c>
      <c r="B406" s="44" t="s">
        <v>398</v>
      </c>
      <c r="C406" s="4" t="s">
        <v>85</v>
      </c>
      <c r="D406" s="5" t="s">
        <v>327</v>
      </c>
      <c r="E406" s="65" t="s">
        <v>144</v>
      </c>
      <c r="F406" s="34" t="s">
        <v>11</v>
      </c>
    </row>
    <row r="407" spans="1:6" ht="30" customHeight="1">
      <c r="A407" s="48">
        <v>408</v>
      </c>
      <c r="B407" s="56" t="s">
        <v>399</v>
      </c>
      <c r="C407" s="4" t="s">
        <v>85</v>
      </c>
      <c r="D407" s="5" t="s">
        <v>327</v>
      </c>
      <c r="E407" s="65" t="s">
        <v>144</v>
      </c>
      <c r="F407" s="34" t="s">
        <v>11</v>
      </c>
    </row>
    <row r="408" spans="1:6" ht="30" customHeight="1">
      <c r="A408" s="48">
        <v>409</v>
      </c>
      <c r="B408" s="44" t="s">
        <v>400</v>
      </c>
      <c r="C408" s="4" t="s">
        <v>85</v>
      </c>
      <c r="D408" s="5" t="s">
        <v>327</v>
      </c>
      <c r="E408" s="65" t="s">
        <v>144</v>
      </c>
      <c r="F408" s="34" t="s">
        <v>11</v>
      </c>
    </row>
    <row r="409" spans="1:6" ht="30" customHeight="1">
      <c r="A409" s="48">
        <v>410</v>
      </c>
      <c r="B409" s="44" t="s">
        <v>401</v>
      </c>
      <c r="C409" s="4" t="s">
        <v>85</v>
      </c>
      <c r="D409" s="5" t="s">
        <v>327</v>
      </c>
      <c r="E409" s="65" t="s">
        <v>144</v>
      </c>
      <c r="F409" s="34" t="s">
        <v>11</v>
      </c>
    </row>
    <row r="410" spans="1:6" ht="30" customHeight="1">
      <c r="A410" s="48">
        <v>411</v>
      </c>
      <c r="B410" s="44" t="s">
        <v>402</v>
      </c>
      <c r="C410" s="4" t="s">
        <v>85</v>
      </c>
      <c r="D410" s="5" t="s">
        <v>327</v>
      </c>
      <c r="E410" s="65" t="s">
        <v>144</v>
      </c>
      <c r="F410" s="34" t="s">
        <v>11</v>
      </c>
    </row>
    <row r="411" spans="1:6" ht="30" customHeight="1">
      <c r="A411" s="48">
        <v>412</v>
      </c>
      <c r="B411" s="44" t="s">
        <v>403</v>
      </c>
      <c r="C411" s="4" t="s">
        <v>85</v>
      </c>
      <c r="D411" s="5" t="s">
        <v>327</v>
      </c>
      <c r="E411" s="65" t="s">
        <v>144</v>
      </c>
      <c r="F411" s="34" t="s">
        <v>11</v>
      </c>
    </row>
    <row r="412" spans="1:6" ht="30" customHeight="1">
      <c r="A412" s="48">
        <v>413</v>
      </c>
      <c r="B412" s="44" t="s">
        <v>404</v>
      </c>
      <c r="C412" s="4" t="s">
        <v>157</v>
      </c>
      <c r="D412" s="5" t="s">
        <v>327</v>
      </c>
      <c r="E412" s="65" t="s">
        <v>144</v>
      </c>
      <c r="F412" s="34" t="s">
        <v>11</v>
      </c>
    </row>
    <row r="413" spans="1:6" ht="30" customHeight="1">
      <c r="A413" s="48">
        <v>414</v>
      </c>
      <c r="B413" s="44" t="s">
        <v>405</v>
      </c>
      <c r="C413" s="4" t="s">
        <v>157</v>
      </c>
      <c r="D413" s="5" t="s">
        <v>327</v>
      </c>
      <c r="E413" s="65" t="s">
        <v>144</v>
      </c>
      <c r="F413" s="34" t="s">
        <v>11</v>
      </c>
    </row>
    <row r="414" spans="1:6" ht="30" customHeight="1">
      <c r="A414" s="48">
        <v>415</v>
      </c>
      <c r="B414" s="44" t="s">
        <v>406</v>
      </c>
      <c r="C414" s="4" t="s">
        <v>157</v>
      </c>
      <c r="D414" s="5" t="s">
        <v>327</v>
      </c>
      <c r="E414" s="65" t="s">
        <v>144</v>
      </c>
      <c r="F414" s="34" t="s">
        <v>11</v>
      </c>
    </row>
    <row r="415" spans="1:6" ht="30" customHeight="1">
      <c r="A415" s="48">
        <v>416</v>
      </c>
      <c r="B415" s="44" t="s">
        <v>407</v>
      </c>
      <c r="C415" s="4" t="s">
        <v>157</v>
      </c>
      <c r="D415" s="5" t="s">
        <v>327</v>
      </c>
      <c r="E415" s="65" t="s">
        <v>144</v>
      </c>
      <c r="F415" s="34" t="s">
        <v>11</v>
      </c>
    </row>
    <row r="416" spans="1:6" ht="30" customHeight="1">
      <c r="A416" s="48">
        <v>417</v>
      </c>
      <c r="B416" s="55" t="s">
        <v>408</v>
      </c>
      <c r="C416" s="4" t="s">
        <v>157</v>
      </c>
      <c r="D416" s="5" t="s">
        <v>327</v>
      </c>
      <c r="E416" s="65" t="s">
        <v>144</v>
      </c>
      <c r="F416" s="34" t="s">
        <v>11</v>
      </c>
    </row>
    <row r="417" spans="1:6" ht="30" customHeight="1">
      <c r="A417" s="48">
        <v>418</v>
      </c>
      <c r="B417" s="55" t="s">
        <v>409</v>
      </c>
      <c r="C417" s="4" t="s">
        <v>8</v>
      </c>
      <c r="D417" s="5" t="s">
        <v>327</v>
      </c>
      <c r="E417" s="65" t="s">
        <v>173</v>
      </c>
      <c r="F417" s="34" t="s">
        <v>11</v>
      </c>
    </row>
    <row r="418" spans="1:6" ht="30" customHeight="1">
      <c r="A418" s="48">
        <v>419</v>
      </c>
      <c r="B418" s="55" t="s">
        <v>409</v>
      </c>
      <c r="C418" s="4" t="s">
        <v>85</v>
      </c>
      <c r="D418" s="5" t="s">
        <v>327</v>
      </c>
      <c r="E418" s="65" t="s">
        <v>173</v>
      </c>
      <c r="F418" s="34" t="s">
        <v>11</v>
      </c>
    </row>
    <row r="419" spans="1:6" ht="30" customHeight="1">
      <c r="A419" s="48">
        <v>420</v>
      </c>
      <c r="B419" s="55" t="s">
        <v>409</v>
      </c>
      <c r="C419" s="4" t="s">
        <v>119</v>
      </c>
      <c r="D419" s="5" t="s">
        <v>327</v>
      </c>
      <c r="E419" s="65" t="s">
        <v>173</v>
      </c>
      <c r="F419" s="34" t="s">
        <v>11</v>
      </c>
    </row>
    <row r="420" spans="1:6" ht="30" customHeight="1">
      <c r="A420" s="48">
        <v>421</v>
      </c>
      <c r="B420" s="55" t="s">
        <v>409</v>
      </c>
      <c r="C420" s="4" t="s">
        <v>157</v>
      </c>
      <c r="D420" s="5" t="s">
        <v>327</v>
      </c>
      <c r="E420" s="65" t="s">
        <v>173</v>
      </c>
      <c r="F420" s="34" t="s">
        <v>11</v>
      </c>
    </row>
    <row r="421" spans="1:6" ht="30" customHeight="1">
      <c r="A421" s="48">
        <v>422</v>
      </c>
      <c r="B421" s="44" t="s">
        <v>410</v>
      </c>
      <c r="C421" s="4" t="s">
        <v>157</v>
      </c>
      <c r="D421" s="5" t="s">
        <v>327</v>
      </c>
      <c r="E421" s="65" t="s">
        <v>173</v>
      </c>
      <c r="F421" s="34" t="s">
        <v>11</v>
      </c>
    </row>
    <row r="422" spans="1:6" ht="30" customHeight="1">
      <c r="A422" s="48">
        <v>423</v>
      </c>
      <c r="B422" s="44" t="s">
        <v>411</v>
      </c>
      <c r="C422" s="4" t="s">
        <v>157</v>
      </c>
      <c r="D422" s="5" t="s">
        <v>327</v>
      </c>
      <c r="E422" s="65" t="s">
        <v>173</v>
      </c>
      <c r="F422" s="34" t="s">
        <v>11</v>
      </c>
    </row>
    <row r="423" spans="1:6" ht="30" customHeight="1">
      <c r="A423" s="48">
        <v>424</v>
      </c>
      <c r="B423" s="44" t="s">
        <v>412</v>
      </c>
      <c r="C423" s="4" t="s">
        <v>157</v>
      </c>
      <c r="D423" s="5" t="s">
        <v>327</v>
      </c>
      <c r="E423" s="65" t="s">
        <v>173</v>
      </c>
      <c r="F423" s="34" t="s">
        <v>11</v>
      </c>
    </row>
    <row r="424" spans="1:6" ht="30" customHeight="1">
      <c r="A424" s="48">
        <v>425</v>
      </c>
      <c r="B424" s="44" t="s">
        <v>413</v>
      </c>
      <c r="C424" s="4" t="s">
        <v>157</v>
      </c>
      <c r="D424" s="5" t="s">
        <v>327</v>
      </c>
      <c r="E424" s="65" t="s">
        <v>173</v>
      </c>
      <c r="F424" s="34" t="s">
        <v>11</v>
      </c>
    </row>
    <row r="425" spans="1:6" ht="30" customHeight="1">
      <c r="A425" s="48">
        <v>426</v>
      </c>
      <c r="B425" s="44" t="s">
        <v>414</v>
      </c>
      <c r="C425" s="4" t="s">
        <v>8</v>
      </c>
      <c r="D425" s="5" t="s">
        <v>327</v>
      </c>
      <c r="E425" s="65" t="s">
        <v>14</v>
      </c>
      <c r="F425" s="34" t="s">
        <v>11</v>
      </c>
    </row>
    <row r="426" spans="1:6" ht="30" customHeight="1">
      <c r="A426" s="48">
        <v>427</v>
      </c>
      <c r="B426" s="44" t="s">
        <v>415</v>
      </c>
      <c r="C426" s="4" t="s">
        <v>8</v>
      </c>
      <c r="D426" s="5" t="s">
        <v>416</v>
      </c>
      <c r="E426" s="65" t="s">
        <v>14</v>
      </c>
      <c r="F426" s="34" t="s">
        <v>11</v>
      </c>
    </row>
    <row r="427" spans="1:6" ht="30" customHeight="1">
      <c r="A427" s="48">
        <v>428</v>
      </c>
      <c r="B427" s="44" t="s">
        <v>417</v>
      </c>
      <c r="C427" s="4" t="s">
        <v>8</v>
      </c>
      <c r="D427" s="5" t="s">
        <v>416</v>
      </c>
      <c r="E427" s="65" t="s">
        <v>10</v>
      </c>
      <c r="F427" s="34" t="s">
        <v>11</v>
      </c>
    </row>
    <row r="428" spans="1:6" ht="30" customHeight="1">
      <c r="A428" s="48">
        <v>429</v>
      </c>
      <c r="B428" s="44" t="s">
        <v>418</v>
      </c>
      <c r="C428" s="4" t="s">
        <v>8</v>
      </c>
      <c r="D428" s="5" t="s">
        <v>416</v>
      </c>
      <c r="E428" s="65" t="s">
        <v>179</v>
      </c>
      <c r="F428" s="34" t="s">
        <v>11</v>
      </c>
    </row>
    <row r="429" spans="1:6" ht="30" customHeight="1">
      <c r="A429" s="48">
        <v>430</v>
      </c>
      <c r="B429" s="44" t="s">
        <v>419</v>
      </c>
      <c r="C429" s="4" t="s">
        <v>8</v>
      </c>
      <c r="D429" s="5" t="s">
        <v>416</v>
      </c>
      <c r="E429" s="65" t="s">
        <v>14</v>
      </c>
      <c r="F429" s="34" t="s">
        <v>11</v>
      </c>
    </row>
    <row r="430" spans="1:6" ht="30" customHeight="1">
      <c r="A430" s="48">
        <v>431</v>
      </c>
      <c r="B430" s="44" t="s">
        <v>420</v>
      </c>
      <c r="C430" s="4" t="s">
        <v>8</v>
      </c>
      <c r="D430" s="5" t="s">
        <v>416</v>
      </c>
      <c r="E430" s="65" t="s">
        <v>14</v>
      </c>
      <c r="F430" s="34" t="s">
        <v>11</v>
      </c>
    </row>
    <row r="431" spans="1:6" ht="30" customHeight="1">
      <c r="A431" s="48">
        <v>432</v>
      </c>
      <c r="B431" s="44" t="s">
        <v>421</v>
      </c>
      <c r="C431" s="4" t="s">
        <v>8</v>
      </c>
      <c r="D431" s="5" t="s">
        <v>416</v>
      </c>
      <c r="E431" s="65" t="s">
        <v>422</v>
      </c>
      <c r="F431" s="34" t="s">
        <v>11</v>
      </c>
    </row>
    <row r="432" spans="1:6" ht="30" customHeight="1">
      <c r="A432" s="48">
        <v>433</v>
      </c>
      <c r="B432" s="44" t="s">
        <v>423</v>
      </c>
      <c r="C432" s="4" t="s">
        <v>8</v>
      </c>
      <c r="D432" s="5" t="s">
        <v>416</v>
      </c>
      <c r="E432" s="65" t="s">
        <v>14</v>
      </c>
      <c r="F432" s="34" t="s">
        <v>11</v>
      </c>
    </row>
    <row r="433" spans="1:6" ht="30" customHeight="1">
      <c r="A433" s="48">
        <v>434</v>
      </c>
      <c r="B433" s="44" t="s">
        <v>424</v>
      </c>
      <c r="C433" s="4" t="s">
        <v>8</v>
      </c>
      <c r="D433" s="5" t="s">
        <v>416</v>
      </c>
      <c r="E433" s="65" t="s">
        <v>144</v>
      </c>
      <c r="F433" s="34" t="s">
        <v>11</v>
      </c>
    </row>
    <row r="434" spans="1:6" ht="30" customHeight="1">
      <c r="A434" s="48">
        <v>435</v>
      </c>
      <c r="B434" s="44" t="s">
        <v>425</v>
      </c>
      <c r="C434" s="4" t="s">
        <v>8</v>
      </c>
      <c r="D434" s="5" t="s">
        <v>416</v>
      </c>
      <c r="E434" s="65" t="s">
        <v>14</v>
      </c>
      <c r="F434" s="34" t="s">
        <v>11</v>
      </c>
    </row>
    <row r="435" spans="1:6" ht="30" customHeight="1">
      <c r="A435" s="48">
        <v>436</v>
      </c>
      <c r="B435" s="44" t="s">
        <v>426</v>
      </c>
      <c r="C435" s="4" t="s">
        <v>8</v>
      </c>
      <c r="D435" s="5" t="s">
        <v>416</v>
      </c>
      <c r="E435" s="65" t="s">
        <v>91</v>
      </c>
      <c r="F435" s="34" t="s">
        <v>11</v>
      </c>
    </row>
    <row r="436" spans="1:6" ht="30" customHeight="1">
      <c r="A436" s="48">
        <v>437</v>
      </c>
      <c r="B436" s="44" t="s">
        <v>427</v>
      </c>
      <c r="C436" s="4" t="s">
        <v>8</v>
      </c>
      <c r="D436" s="5" t="s">
        <v>416</v>
      </c>
      <c r="E436" s="65" t="s">
        <v>91</v>
      </c>
      <c r="F436" s="34" t="s">
        <v>11</v>
      </c>
    </row>
    <row r="437" spans="1:6" ht="30" customHeight="1">
      <c r="A437" s="48">
        <v>438</v>
      </c>
      <c r="B437" s="44" t="s">
        <v>428</v>
      </c>
      <c r="C437" s="4" t="s">
        <v>8</v>
      </c>
      <c r="D437" s="5" t="s">
        <v>416</v>
      </c>
      <c r="E437" s="65" t="s">
        <v>91</v>
      </c>
      <c r="F437" s="34" t="s">
        <v>11</v>
      </c>
    </row>
    <row r="438" spans="1:6" ht="30" customHeight="1">
      <c r="A438" s="48">
        <v>439</v>
      </c>
      <c r="B438" s="44" t="s">
        <v>429</v>
      </c>
      <c r="C438" s="4" t="s">
        <v>8</v>
      </c>
      <c r="D438" s="5" t="s">
        <v>416</v>
      </c>
      <c r="E438" s="65" t="s">
        <v>91</v>
      </c>
      <c r="F438" s="34" t="s">
        <v>11</v>
      </c>
    </row>
    <row r="439" spans="1:6" ht="30" customHeight="1">
      <c r="A439" s="48">
        <v>440</v>
      </c>
      <c r="B439" s="44" t="s">
        <v>430</v>
      </c>
      <c r="C439" s="4" t="s">
        <v>8</v>
      </c>
      <c r="D439" s="5" t="s">
        <v>416</v>
      </c>
      <c r="E439" s="65" t="s">
        <v>91</v>
      </c>
      <c r="F439" s="34" t="s">
        <v>11</v>
      </c>
    </row>
    <row r="440" spans="1:6" ht="30" customHeight="1">
      <c r="A440" s="48">
        <v>441</v>
      </c>
      <c r="B440" s="44" t="s">
        <v>431</v>
      </c>
      <c r="C440" s="4" t="s">
        <v>8</v>
      </c>
      <c r="D440" s="5" t="s">
        <v>416</v>
      </c>
      <c r="E440" s="65" t="s">
        <v>91</v>
      </c>
      <c r="F440" s="34" t="s">
        <v>11</v>
      </c>
    </row>
    <row r="441" spans="1:6" ht="30" customHeight="1">
      <c r="A441" s="48">
        <v>442</v>
      </c>
      <c r="B441" s="44" t="s">
        <v>432</v>
      </c>
      <c r="C441" s="4" t="s">
        <v>8</v>
      </c>
      <c r="D441" s="5" t="s">
        <v>416</v>
      </c>
      <c r="E441" s="65" t="s">
        <v>91</v>
      </c>
      <c r="F441" s="34" t="s">
        <v>11</v>
      </c>
    </row>
    <row r="442" spans="1:6" ht="30" customHeight="1">
      <c r="A442" s="48">
        <v>443</v>
      </c>
      <c r="B442" s="44" t="s">
        <v>433</v>
      </c>
      <c r="C442" s="4" t="s">
        <v>8</v>
      </c>
      <c r="D442" s="5" t="s">
        <v>416</v>
      </c>
      <c r="E442" s="65" t="s">
        <v>14</v>
      </c>
      <c r="F442" s="34" t="s">
        <v>11</v>
      </c>
    </row>
    <row r="443" spans="1:6" ht="30" customHeight="1">
      <c r="A443" s="48">
        <v>444</v>
      </c>
      <c r="B443" s="44" t="s">
        <v>434</v>
      </c>
      <c r="C443" s="4" t="s">
        <v>85</v>
      </c>
      <c r="D443" s="5" t="s">
        <v>416</v>
      </c>
      <c r="E443" s="65" t="s">
        <v>14</v>
      </c>
      <c r="F443" s="34" t="s">
        <v>11</v>
      </c>
    </row>
    <row r="444" spans="1:6" ht="30" customHeight="1">
      <c r="A444" s="48">
        <v>445</v>
      </c>
      <c r="B444" s="44" t="s">
        <v>435</v>
      </c>
      <c r="C444" s="4" t="s">
        <v>85</v>
      </c>
      <c r="D444" s="5" t="s">
        <v>416</v>
      </c>
      <c r="E444" s="65" t="s">
        <v>14</v>
      </c>
      <c r="F444" s="34" t="s">
        <v>11</v>
      </c>
    </row>
    <row r="445" spans="1:6" ht="30" customHeight="1">
      <c r="A445" s="48">
        <v>446</v>
      </c>
      <c r="B445" s="44" t="s">
        <v>436</v>
      </c>
      <c r="C445" s="4" t="s">
        <v>85</v>
      </c>
      <c r="D445" s="5" t="s">
        <v>416</v>
      </c>
      <c r="E445" s="65" t="s">
        <v>14</v>
      </c>
      <c r="F445" s="34" t="s">
        <v>11</v>
      </c>
    </row>
    <row r="446" spans="1:6" ht="30" customHeight="1">
      <c r="A446" s="48">
        <v>447</v>
      </c>
      <c r="B446" s="44" t="s">
        <v>437</v>
      </c>
      <c r="C446" s="4" t="s">
        <v>85</v>
      </c>
      <c r="D446" s="5" t="s">
        <v>416</v>
      </c>
      <c r="E446" s="65" t="s">
        <v>14</v>
      </c>
      <c r="F446" s="34" t="s">
        <v>11</v>
      </c>
    </row>
    <row r="447" spans="1:6" ht="30" customHeight="1">
      <c r="A447" s="48">
        <v>448</v>
      </c>
      <c r="B447" s="44" t="s">
        <v>438</v>
      </c>
      <c r="C447" s="4" t="s">
        <v>85</v>
      </c>
      <c r="D447" s="5" t="s">
        <v>416</v>
      </c>
      <c r="E447" s="65" t="s">
        <v>14</v>
      </c>
      <c r="F447" s="34" t="s">
        <v>11</v>
      </c>
    </row>
    <row r="448" spans="1:6" ht="30" customHeight="1">
      <c r="A448" s="48">
        <v>449</v>
      </c>
      <c r="B448" s="44" t="s">
        <v>439</v>
      </c>
      <c r="C448" s="4" t="s">
        <v>85</v>
      </c>
      <c r="D448" s="5" t="s">
        <v>416</v>
      </c>
      <c r="E448" s="65" t="s">
        <v>14</v>
      </c>
      <c r="F448" s="34" t="s">
        <v>11</v>
      </c>
    </row>
    <row r="449" spans="1:6" ht="30" customHeight="1">
      <c r="A449" s="48">
        <v>450</v>
      </c>
      <c r="B449" s="44" t="s">
        <v>440</v>
      </c>
      <c r="C449" s="4" t="s">
        <v>85</v>
      </c>
      <c r="D449" s="5" t="s">
        <v>416</v>
      </c>
      <c r="E449" s="65" t="s">
        <v>14</v>
      </c>
      <c r="F449" s="34" t="s">
        <v>11</v>
      </c>
    </row>
    <row r="450" spans="1:6" ht="30" customHeight="1">
      <c r="A450" s="48">
        <v>451</v>
      </c>
      <c r="B450" s="44" t="s">
        <v>441</v>
      </c>
      <c r="C450" s="4" t="s">
        <v>85</v>
      </c>
      <c r="D450" s="5" t="s">
        <v>416</v>
      </c>
      <c r="E450" s="65" t="s">
        <v>179</v>
      </c>
      <c r="F450" s="34" t="s">
        <v>11</v>
      </c>
    </row>
    <row r="451" spans="1:6" ht="30" customHeight="1">
      <c r="A451" s="48">
        <v>452</v>
      </c>
      <c r="B451" s="44" t="s">
        <v>442</v>
      </c>
      <c r="C451" s="4" t="s">
        <v>85</v>
      </c>
      <c r="D451" s="5" t="s">
        <v>416</v>
      </c>
      <c r="E451" s="65" t="s">
        <v>179</v>
      </c>
      <c r="F451" s="34" t="s">
        <v>11</v>
      </c>
    </row>
    <row r="452" spans="1:6" ht="30" customHeight="1">
      <c r="A452" s="48">
        <v>453</v>
      </c>
      <c r="B452" s="44" t="s">
        <v>443</v>
      </c>
      <c r="C452" s="4" t="s">
        <v>85</v>
      </c>
      <c r="D452" s="5" t="s">
        <v>416</v>
      </c>
      <c r="E452" s="65" t="s">
        <v>144</v>
      </c>
      <c r="F452" s="34" t="s">
        <v>11</v>
      </c>
    </row>
    <row r="453" spans="1:6" ht="30" customHeight="1">
      <c r="A453" s="48">
        <v>454</v>
      </c>
      <c r="B453" s="44" t="s">
        <v>444</v>
      </c>
      <c r="C453" s="4" t="s">
        <v>85</v>
      </c>
      <c r="D453" s="5" t="s">
        <v>416</v>
      </c>
      <c r="E453" s="65" t="s">
        <v>14</v>
      </c>
      <c r="F453" s="34" t="s">
        <v>11</v>
      </c>
    </row>
    <row r="454" spans="1:6" ht="30" customHeight="1">
      <c r="A454" s="48">
        <v>455</v>
      </c>
      <c r="B454" s="44" t="s">
        <v>445</v>
      </c>
      <c r="C454" s="4" t="s">
        <v>85</v>
      </c>
      <c r="D454" s="5" t="s">
        <v>416</v>
      </c>
      <c r="E454" s="65" t="s">
        <v>14</v>
      </c>
      <c r="F454" s="34" t="s">
        <v>11</v>
      </c>
    </row>
    <row r="455" spans="1:6" ht="30" customHeight="1">
      <c r="A455" s="48">
        <v>456</v>
      </c>
      <c r="B455" s="44" t="s">
        <v>446</v>
      </c>
      <c r="C455" s="4" t="s">
        <v>85</v>
      </c>
      <c r="D455" s="5" t="s">
        <v>416</v>
      </c>
      <c r="E455" s="65" t="s">
        <v>14</v>
      </c>
      <c r="F455" s="34" t="s">
        <v>11</v>
      </c>
    </row>
    <row r="456" spans="1:6" ht="30" customHeight="1">
      <c r="A456" s="48">
        <v>457</v>
      </c>
      <c r="B456" s="44" t="s">
        <v>447</v>
      </c>
      <c r="C456" s="4" t="s">
        <v>85</v>
      </c>
      <c r="D456" s="5" t="s">
        <v>416</v>
      </c>
      <c r="E456" s="65" t="s">
        <v>14</v>
      </c>
      <c r="F456" s="34" t="s">
        <v>11</v>
      </c>
    </row>
    <row r="457" spans="1:6" ht="30" customHeight="1">
      <c r="A457" s="48">
        <v>458</v>
      </c>
      <c r="B457" s="44" t="s">
        <v>448</v>
      </c>
      <c r="C457" s="4" t="s">
        <v>85</v>
      </c>
      <c r="D457" s="5" t="s">
        <v>416</v>
      </c>
      <c r="E457" s="65" t="s">
        <v>14</v>
      </c>
      <c r="F457" s="34" t="s">
        <v>11</v>
      </c>
    </row>
    <row r="458" spans="1:6" ht="30" customHeight="1">
      <c r="A458" s="48">
        <v>459</v>
      </c>
      <c r="B458" s="44" t="s">
        <v>449</v>
      </c>
      <c r="C458" s="4" t="s">
        <v>85</v>
      </c>
      <c r="D458" s="5" t="s">
        <v>416</v>
      </c>
      <c r="E458" s="65" t="s">
        <v>14</v>
      </c>
      <c r="F458" s="34" t="s">
        <v>11</v>
      </c>
    </row>
    <row r="459" spans="1:6" ht="30" customHeight="1">
      <c r="A459" s="48">
        <v>460</v>
      </c>
      <c r="B459" s="44" t="s">
        <v>450</v>
      </c>
      <c r="C459" s="4" t="s">
        <v>85</v>
      </c>
      <c r="D459" s="5" t="s">
        <v>416</v>
      </c>
      <c r="E459" s="65" t="s">
        <v>14</v>
      </c>
      <c r="F459" s="34" t="s">
        <v>11</v>
      </c>
    </row>
    <row r="460" spans="1:6" ht="30" customHeight="1">
      <c r="A460" s="48">
        <v>461</v>
      </c>
      <c r="B460" s="44" t="s">
        <v>451</v>
      </c>
      <c r="C460" s="4" t="s">
        <v>85</v>
      </c>
      <c r="D460" s="5" t="s">
        <v>416</v>
      </c>
      <c r="E460" s="65" t="s">
        <v>14</v>
      </c>
      <c r="F460" s="34" t="s">
        <v>11</v>
      </c>
    </row>
    <row r="461" spans="1:6" ht="30" customHeight="1">
      <c r="A461" s="48">
        <v>462</v>
      </c>
      <c r="B461" s="44" t="s">
        <v>452</v>
      </c>
      <c r="C461" s="4" t="s">
        <v>85</v>
      </c>
      <c r="D461" s="5" t="s">
        <v>416</v>
      </c>
      <c r="E461" s="65" t="s">
        <v>14</v>
      </c>
      <c r="F461" s="34" t="s">
        <v>11</v>
      </c>
    </row>
    <row r="462" spans="1:6" ht="30" customHeight="1">
      <c r="A462" s="48">
        <v>463</v>
      </c>
      <c r="B462" s="44" t="s">
        <v>453</v>
      </c>
      <c r="C462" s="4" t="s">
        <v>85</v>
      </c>
      <c r="D462" s="5" t="s">
        <v>416</v>
      </c>
      <c r="E462" s="65" t="s">
        <v>14</v>
      </c>
      <c r="F462" s="34" t="s">
        <v>11</v>
      </c>
    </row>
    <row r="463" spans="1:6" ht="30" customHeight="1">
      <c r="A463" s="48">
        <v>464</v>
      </c>
      <c r="B463" s="44" t="s">
        <v>454</v>
      </c>
      <c r="C463" s="4" t="s">
        <v>85</v>
      </c>
      <c r="D463" s="5" t="s">
        <v>416</v>
      </c>
      <c r="E463" s="65" t="s">
        <v>17</v>
      </c>
      <c r="F463" s="34" t="s">
        <v>11</v>
      </c>
    </row>
    <row r="464" spans="1:6" ht="30" customHeight="1">
      <c r="A464" s="48">
        <v>465</v>
      </c>
      <c r="B464" s="44" t="s">
        <v>455</v>
      </c>
      <c r="C464" s="4" t="s">
        <v>85</v>
      </c>
      <c r="D464" s="5" t="s">
        <v>416</v>
      </c>
      <c r="E464" s="65" t="s">
        <v>14</v>
      </c>
      <c r="F464" s="34" t="s">
        <v>11</v>
      </c>
    </row>
    <row r="465" spans="1:6" ht="30" customHeight="1">
      <c r="A465" s="48">
        <v>466</v>
      </c>
      <c r="B465" s="44" t="s">
        <v>456</v>
      </c>
      <c r="C465" s="4" t="s">
        <v>85</v>
      </c>
      <c r="D465" s="5" t="s">
        <v>416</v>
      </c>
      <c r="E465" s="65" t="s">
        <v>14</v>
      </c>
      <c r="F465" s="34" t="s">
        <v>11</v>
      </c>
    </row>
    <row r="466" spans="1:6" ht="30" customHeight="1">
      <c r="A466" s="48">
        <v>467</v>
      </c>
      <c r="B466" s="44" t="s">
        <v>457</v>
      </c>
      <c r="C466" s="4" t="s">
        <v>85</v>
      </c>
      <c r="D466" s="5" t="s">
        <v>416</v>
      </c>
      <c r="E466" s="65" t="s">
        <v>91</v>
      </c>
      <c r="F466" s="34" t="s">
        <v>11</v>
      </c>
    </row>
    <row r="467" spans="1:6" ht="30" customHeight="1">
      <c r="A467" s="48">
        <v>468</v>
      </c>
      <c r="B467" s="44" t="s">
        <v>458</v>
      </c>
      <c r="C467" s="4" t="s">
        <v>85</v>
      </c>
      <c r="D467" s="5" t="s">
        <v>416</v>
      </c>
      <c r="E467" s="65" t="s">
        <v>14</v>
      </c>
      <c r="F467" s="34" t="s">
        <v>11</v>
      </c>
    </row>
    <row r="468" spans="1:6" ht="30" customHeight="1">
      <c r="A468" s="48">
        <v>469</v>
      </c>
      <c r="B468" s="44" t="s">
        <v>459</v>
      </c>
      <c r="C468" s="4" t="s">
        <v>85</v>
      </c>
      <c r="D468" s="5" t="s">
        <v>416</v>
      </c>
      <c r="E468" s="65" t="s">
        <v>14</v>
      </c>
      <c r="F468" s="34" t="s">
        <v>11</v>
      </c>
    </row>
    <row r="469" spans="1:6" ht="30" customHeight="1">
      <c r="A469" s="48">
        <v>470</v>
      </c>
      <c r="B469" s="44" t="s">
        <v>460</v>
      </c>
      <c r="C469" s="4" t="s">
        <v>85</v>
      </c>
      <c r="D469" s="5" t="s">
        <v>416</v>
      </c>
      <c r="E469" s="65" t="s">
        <v>14</v>
      </c>
      <c r="F469" s="34" t="s">
        <v>11</v>
      </c>
    </row>
    <row r="470" spans="1:6" ht="30" customHeight="1">
      <c r="A470" s="48">
        <v>471</v>
      </c>
      <c r="B470" s="44" t="s">
        <v>461</v>
      </c>
      <c r="C470" s="4" t="s">
        <v>85</v>
      </c>
      <c r="D470" s="5" t="s">
        <v>416</v>
      </c>
      <c r="E470" s="65" t="s">
        <v>14</v>
      </c>
      <c r="F470" s="34" t="s">
        <v>11</v>
      </c>
    </row>
    <row r="471" spans="1:6" ht="30" customHeight="1">
      <c r="A471" s="48">
        <v>472</v>
      </c>
      <c r="B471" s="44" t="s">
        <v>462</v>
      </c>
      <c r="C471" s="4" t="s">
        <v>85</v>
      </c>
      <c r="D471" s="5" t="s">
        <v>416</v>
      </c>
      <c r="E471" s="65" t="s">
        <v>14</v>
      </c>
      <c r="F471" s="34" t="s">
        <v>11</v>
      </c>
    </row>
    <row r="472" spans="1:6" ht="30" customHeight="1">
      <c r="A472" s="48">
        <v>473</v>
      </c>
      <c r="B472" s="44" t="s">
        <v>463</v>
      </c>
      <c r="C472" s="4" t="s">
        <v>85</v>
      </c>
      <c r="D472" s="5" t="s">
        <v>416</v>
      </c>
      <c r="E472" s="65" t="s">
        <v>14</v>
      </c>
      <c r="F472" s="34" t="s">
        <v>11</v>
      </c>
    </row>
    <row r="473" spans="1:6" ht="30" customHeight="1">
      <c r="A473" s="48">
        <v>474</v>
      </c>
      <c r="B473" s="44" t="s">
        <v>464</v>
      </c>
      <c r="C473" s="4" t="s">
        <v>85</v>
      </c>
      <c r="D473" s="5" t="s">
        <v>416</v>
      </c>
      <c r="E473" s="65" t="s">
        <v>14</v>
      </c>
      <c r="F473" s="34" t="s">
        <v>11</v>
      </c>
    </row>
    <row r="474" spans="1:6" ht="30" customHeight="1">
      <c r="A474" s="48">
        <v>475</v>
      </c>
      <c r="B474" s="44" t="s">
        <v>465</v>
      </c>
      <c r="C474" s="4" t="s">
        <v>85</v>
      </c>
      <c r="D474" s="5" t="s">
        <v>416</v>
      </c>
      <c r="E474" s="65" t="s">
        <v>14</v>
      </c>
      <c r="F474" s="34" t="s">
        <v>11</v>
      </c>
    </row>
    <row r="475" spans="1:6" ht="30" customHeight="1">
      <c r="A475" s="48">
        <v>476</v>
      </c>
      <c r="B475" s="44" t="s">
        <v>466</v>
      </c>
      <c r="C475" s="4" t="s">
        <v>85</v>
      </c>
      <c r="D475" s="5" t="s">
        <v>416</v>
      </c>
      <c r="E475" s="65" t="s">
        <v>14</v>
      </c>
      <c r="F475" s="34" t="s">
        <v>11</v>
      </c>
    </row>
    <row r="476" spans="1:6" ht="30" customHeight="1">
      <c r="A476" s="48">
        <v>477</v>
      </c>
      <c r="B476" s="44" t="s">
        <v>467</v>
      </c>
      <c r="C476" s="4" t="s">
        <v>85</v>
      </c>
      <c r="D476" s="5" t="s">
        <v>416</v>
      </c>
      <c r="E476" s="65" t="s">
        <v>14</v>
      </c>
      <c r="F476" s="34" t="s">
        <v>11</v>
      </c>
    </row>
    <row r="477" spans="1:6" ht="30" customHeight="1">
      <c r="A477" s="48">
        <v>478</v>
      </c>
      <c r="B477" s="44" t="s">
        <v>468</v>
      </c>
      <c r="C477" s="4" t="s">
        <v>85</v>
      </c>
      <c r="D477" s="5" t="s">
        <v>416</v>
      </c>
      <c r="E477" s="65" t="s">
        <v>14</v>
      </c>
      <c r="F477" s="34" t="s">
        <v>11</v>
      </c>
    </row>
    <row r="478" spans="1:6" ht="30" customHeight="1">
      <c r="A478" s="48">
        <v>479</v>
      </c>
      <c r="B478" s="44" t="s">
        <v>469</v>
      </c>
      <c r="C478" s="4" t="s">
        <v>85</v>
      </c>
      <c r="D478" s="5" t="s">
        <v>416</v>
      </c>
      <c r="E478" s="65" t="s">
        <v>14</v>
      </c>
      <c r="F478" s="34" t="s">
        <v>11</v>
      </c>
    </row>
    <row r="479" spans="1:6" ht="30" customHeight="1">
      <c r="A479" s="48">
        <v>480</v>
      </c>
      <c r="B479" s="44" t="s">
        <v>470</v>
      </c>
      <c r="C479" s="4" t="s">
        <v>85</v>
      </c>
      <c r="D479" s="5" t="s">
        <v>416</v>
      </c>
      <c r="E479" s="65" t="s">
        <v>471</v>
      </c>
      <c r="F479" s="34" t="s">
        <v>11</v>
      </c>
    </row>
    <row r="480" spans="1:6" ht="30" customHeight="1">
      <c r="A480" s="48">
        <v>481</v>
      </c>
      <c r="B480" s="44" t="s">
        <v>472</v>
      </c>
      <c r="C480" s="4" t="s">
        <v>85</v>
      </c>
      <c r="D480" s="5" t="s">
        <v>416</v>
      </c>
      <c r="E480" s="65" t="s">
        <v>14</v>
      </c>
      <c r="F480" s="34" t="s">
        <v>11</v>
      </c>
    </row>
    <row r="481" spans="1:6" ht="30" customHeight="1">
      <c r="A481" s="48">
        <v>482</v>
      </c>
      <c r="B481" s="44" t="s">
        <v>473</v>
      </c>
      <c r="C481" s="4" t="s">
        <v>85</v>
      </c>
      <c r="D481" s="5" t="s">
        <v>416</v>
      </c>
      <c r="E481" s="65" t="s">
        <v>14</v>
      </c>
      <c r="F481" s="34" t="s">
        <v>11</v>
      </c>
    </row>
    <row r="482" spans="1:6" ht="30" customHeight="1">
      <c r="A482" s="48">
        <v>483</v>
      </c>
      <c r="B482" s="44" t="s">
        <v>474</v>
      </c>
      <c r="C482" s="4" t="s">
        <v>85</v>
      </c>
      <c r="D482" s="5" t="s">
        <v>416</v>
      </c>
      <c r="E482" s="65" t="s">
        <v>471</v>
      </c>
      <c r="F482" s="34" t="s">
        <v>11</v>
      </c>
    </row>
    <row r="483" spans="1:6" ht="30" customHeight="1">
      <c r="A483" s="48">
        <v>484</v>
      </c>
      <c r="B483" s="44" t="s">
        <v>475</v>
      </c>
      <c r="C483" s="4" t="s">
        <v>85</v>
      </c>
      <c r="D483" s="5" t="s">
        <v>416</v>
      </c>
      <c r="E483" s="65" t="s">
        <v>14</v>
      </c>
      <c r="F483" s="34" t="s">
        <v>11</v>
      </c>
    </row>
    <row r="484" spans="1:6" ht="30" customHeight="1">
      <c r="A484" s="48">
        <v>485</v>
      </c>
      <c r="B484" s="44" t="s">
        <v>476</v>
      </c>
      <c r="C484" s="4" t="s">
        <v>119</v>
      </c>
      <c r="D484" s="5" t="s">
        <v>416</v>
      </c>
      <c r="E484" s="65" t="s">
        <v>14</v>
      </c>
      <c r="F484" s="34" t="s">
        <v>11</v>
      </c>
    </row>
    <row r="485" spans="1:6" ht="30" customHeight="1">
      <c r="A485" s="48">
        <v>486</v>
      </c>
      <c r="B485" s="44" t="s">
        <v>477</v>
      </c>
      <c r="C485" s="4" t="s">
        <v>119</v>
      </c>
      <c r="D485" s="5" t="s">
        <v>416</v>
      </c>
      <c r="E485" s="65" t="s">
        <v>14</v>
      </c>
      <c r="F485" s="34" t="s">
        <v>11</v>
      </c>
    </row>
    <row r="486" spans="1:6" ht="30" customHeight="1">
      <c r="A486" s="48">
        <v>487</v>
      </c>
      <c r="B486" s="44" t="s">
        <v>478</v>
      </c>
      <c r="C486" s="4" t="s">
        <v>119</v>
      </c>
      <c r="D486" s="5" t="s">
        <v>416</v>
      </c>
      <c r="E486" s="65" t="s">
        <v>14</v>
      </c>
      <c r="F486" s="34" t="s">
        <v>11</v>
      </c>
    </row>
    <row r="487" spans="1:6" ht="30" customHeight="1">
      <c r="A487" s="48">
        <v>488</v>
      </c>
      <c r="B487" s="44" t="s">
        <v>479</v>
      </c>
      <c r="C487" s="4" t="s">
        <v>119</v>
      </c>
      <c r="D487" s="5" t="s">
        <v>416</v>
      </c>
      <c r="E487" s="65" t="s">
        <v>480</v>
      </c>
      <c r="F487" s="34" t="s">
        <v>11</v>
      </c>
    </row>
    <row r="488" spans="1:6" ht="30" customHeight="1">
      <c r="A488" s="48">
        <v>489</v>
      </c>
      <c r="B488" s="44" t="s">
        <v>481</v>
      </c>
      <c r="C488" s="4" t="s">
        <v>119</v>
      </c>
      <c r="D488" s="5" t="s">
        <v>416</v>
      </c>
      <c r="E488" s="65" t="s">
        <v>10</v>
      </c>
      <c r="F488" s="34" t="s">
        <v>11</v>
      </c>
    </row>
    <row r="489" spans="1:6" ht="30" customHeight="1">
      <c r="A489" s="48">
        <v>490</v>
      </c>
      <c r="B489" s="44" t="s">
        <v>482</v>
      </c>
      <c r="C489" s="4" t="s">
        <v>119</v>
      </c>
      <c r="D489" s="5" t="s">
        <v>416</v>
      </c>
      <c r="E489" s="65" t="s">
        <v>471</v>
      </c>
      <c r="F489" s="34" t="s">
        <v>11</v>
      </c>
    </row>
    <row r="490" spans="1:6" ht="21">
      <c r="A490" s="48">
        <v>491</v>
      </c>
      <c r="B490" s="44" t="s">
        <v>483</v>
      </c>
      <c r="C490" s="4" t="s">
        <v>119</v>
      </c>
      <c r="D490" s="5" t="s">
        <v>416</v>
      </c>
      <c r="E490" s="65" t="s">
        <v>14</v>
      </c>
      <c r="F490" s="34" t="s">
        <v>11</v>
      </c>
    </row>
    <row r="491" spans="1:6" ht="21">
      <c r="A491" s="48">
        <v>492</v>
      </c>
      <c r="B491" s="44" t="s">
        <v>484</v>
      </c>
      <c r="C491" s="4" t="s">
        <v>119</v>
      </c>
      <c r="D491" s="5" t="s">
        <v>416</v>
      </c>
      <c r="E491" s="65" t="s">
        <v>14</v>
      </c>
      <c r="F491" s="34" t="s">
        <v>11</v>
      </c>
    </row>
    <row r="492" spans="1:6" ht="21">
      <c r="A492" s="48">
        <v>493</v>
      </c>
      <c r="B492" s="44" t="s">
        <v>485</v>
      </c>
      <c r="C492" s="4" t="s">
        <v>119</v>
      </c>
      <c r="D492" s="5" t="s">
        <v>416</v>
      </c>
      <c r="E492" s="65" t="s">
        <v>14</v>
      </c>
      <c r="F492" s="34" t="s">
        <v>11</v>
      </c>
    </row>
    <row r="493" spans="1:6" ht="21">
      <c r="A493" s="48">
        <v>494</v>
      </c>
      <c r="B493" s="44" t="s">
        <v>486</v>
      </c>
      <c r="C493" s="4" t="s">
        <v>119</v>
      </c>
      <c r="D493" s="5" t="s">
        <v>416</v>
      </c>
      <c r="E493" s="65" t="s">
        <v>14</v>
      </c>
      <c r="F493" s="34" t="s">
        <v>11</v>
      </c>
    </row>
    <row r="494" spans="1:6" ht="21">
      <c r="A494" s="48">
        <v>495</v>
      </c>
      <c r="B494" s="44" t="s">
        <v>487</v>
      </c>
      <c r="C494" s="4" t="s">
        <v>119</v>
      </c>
      <c r="D494" s="5" t="s">
        <v>416</v>
      </c>
      <c r="E494" s="65" t="s">
        <v>144</v>
      </c>
      <c r="F494" s="34" t="s">
        <v>11</v>
      </c>
    </row>
    <row r="495" spans="1:6" ht="21">
      <c r="A495" s="48">
        <v>496</v>
      </c>
      <c r="B495" s="44" t="s">
        <v>488</v>
      </c>
      <c r="C495" s="4" t="s">
        <v>119</v>
      </c>
      <c r="D495" s="5" t="s">
        <v>416</v>
      </c>
      <c r="E495" s="65" t="s">
        <v>14</v>
      </c>
      <c r="F495" s="34" t="s">
        <v>11</v>
      </c>
    </row>
    <row r="496" spans="1:6" ht="21">
      <c r="A496" s="48">
        <v>497</v>
      </c>
      <c r="B496" s="44" t="s">
        <v>489</v>
      </c>
      <c r="C496" s="4" t="s">
        <v>119</v>
      </c>
      <c r="D496" s="5" t="s">
        <v>416</v>
      </c>
      <c r="E496" s="65" t="s">
        <v>14</v>
      </c>
      <c r="F496" s="34" t="s">
        <v>11</v>
      </c>
    </row>
    <row r="497" spans="1:6" ht="21">
      <c r="A497" s="48">
        <v>498</v>
      </c>
      <c r="B497" s="44" t="s">
        <v>490</v>
      </c>
      <c r="C497" s="4" t="s">
        <v>119</v>
      </c>
      <c r="D497" s="5" t="s">
        <v>416</v>
      </c>
      <c r="E497" s="65" t="s">
        <v>14</v>
      </c>
      <c r="F497" s="34" t="s">
        <v>11</v>
      </c>
    </row>
    <row r="498" spans="1:6" ht="21">
      <c r="A498" s="48">
        <v>499</v>
      </c>
      <c r="B498" s="44" t="s">
        <v>491</v>
      </c>
      <c r="C498" s="4" t="s">
        <v>119</v>
      </c>
      <c r="D498" s="5" t="s">
        <v>416</v>
      </c>
      <c r="E498" s="65" t="s">
        <v>17</v>
      </c>
      <c r="F498" s="34" t="s">
        <v>11</v>
      </c>
    </row>
    <row r="499" spans="1:6" ht="21">
      <c r="A499" s="48">
        <v>500</v>
      </c>
      <c r="B499" s="44" t="s">
        <v>492</v>
      </c>
      <c r="C499" s="4" t="s">
        <v>119</v>
      </c>
      <c r="D499" s="5" t="s">
        <v>416</v>
      </c>
      <c r="E499" s="65" t="s">
        <v>17</v>
      </c>
      <c r="F499" s="34" t="s">
        <v>11</v>
      </c>
    </row>
    <row r="500" spans="1:6" ht="21">
      <c r="A500" s="48">
        <v>501</v>
      </c>
      <c r="B500" s="44" t="s">
        <v>493</v>
      </c>
      <c r="C500" s="4" t="s">
        <v>119</v>
      </c>
      <c r="D500" s="5" t="s">
        <v>416</v>
      </c>
      <c r="E500" s="65" t="s">
        <v>14</v>
      </c>
      <c r="F500" s="34" t="s">
        <v>11</v>
      </c>
    </row>
    <row r="501" spans="1:6" ht="21">
      <c r="A501" s="48">
        <v>502</v>
      </c>
      <c r="B501" s="44" t="s">
        <v>494</v>
      </c>
      <c r="C501" s="4" t="s">
        <v>119</v>
      </c>
      <c r="D501" s="5" t="s">
        <v>416</v>
      </c>
      <c r="E501" s="65" t="s">
        <v>14</v>
      </c>
      <c r="F501" s="34" t="s">
        <v>11</v>
      </c>
    </row>
    <row r="502" spans="1:6" ht="21">
      <c r="A502" s="48">
        <v>503</v>
      </c>
      <c r="B502" s="44" t="s">
        <v>495</v>
      </c>
      <c r="C502" s="4" t="s">
        <v>119</v>
      </c>
      <c r="D502" s="5" t="s">
        <v>416</v>
      </c>
      <c r="E502" s="65" t="s">
        <v>14</v>
      </c>
      <c r="F502" s="34" t="s">
        <v>11</v>
      </c>
    </row>
    <row r="503" spans="1:6" ht="21">
      <c r="A503" s="48">
        <v>504</v>
      </c>
      <c r="B503" s="44" t="s">
        <v>496</v>
      </c>
      <c r="C503" s="4" t="s">
        <v>119</v>
      </c>
      <c r="D503" s="5" t="s">
        <v>416</v>
      </c>
      <c r="E503" s="65" t="s">
        <v>10</v>
      </c>
      <c r="F503" s="34" t="s">
        <v>11</v>
      </c>
    </row>
    <row r="504" spans="1:6" ht="21">
      <c r="A504" s="48">
        <v>505</v>
      </c>
      <c r="B504" s="44" t="s">
        <v>497</v>
      </c>
      <c r="C504" s="4" t="s">
        <v>119</v>
      </c>
      <c r="D504" s="5" t="s">
        <v>416</v>
      </c>
      <c r="E504" s="65" t="s">
        <v>10</v>
      </c>
      <c r="F504" s="34" t="s">
        <v>11</v>
      </c>
    </row>
    <row r="505" spans="1:6" ht="21">
      <c r="A505" s="48">
        <v>507</v>
      </c>
      <c r="B505" s="44" t="s">
        <v>498</v>
      </c>
      <c r="C505" s="4" t="s">
        <v>119</v>
      </c>
      <c r="D505" s="5" t="s">
        <v>416</v>
      </c>
      <c r="E505" s="65" t="s">
        <v>14</v>
      </c>
      <c r="F505" s="34" t="s">
        <v>11</v>
      </c>
    </row>
    <row r="506" spans="1:6" ht="21">
      <c r="A506" s="48">
        <v>508</v>
      </c>
      <c r="B506" s="44" t="s">
        <v>499</v>
      </c>
      <c r="C506" s="4" t="s">
        <v>119</v>
      </c>
      <c r="D506" s="5" t="s">
        <v>416</v>
      </c>
      <c r="E506" s="65" t="s">
        <v>14</v>
      </c>
      <c r="F506" s="34" t="s">
        <v>11</v>
      </c>
    </row>
    <row r="507" spans="1:6" ht="21">
      <c r="A507" s="48">
        <v>509</v>
      </c>
      <c r="B507" s="44" t="s">
        <v>500</v>
      </c>
      <c r="C507" s="4" t="s">
        <v>119</v>
      </c>
      <c r="D507" s="5" t="s">
        <v>416</v>
      </c>
      <c r="E507" s="65" t="s">
        <v>14</v>
      </c>
      <c r="F507" s="34" t="s">
        <v>11</v>
      </c>
    </row>
    <row r="508" spans="1:6" ht="21">
      <c r="A508" s="48">
        <v>510</v>
      </c>
      <c r="B508" s="44" t="s">
        <v>501</v>
      </c>
      <c r="C508" s="4" t="s">
        <v>119</v>
      </c>
      <c r="D508" s="5" t="s">
        <v>416</v>
      </c>
      <c r="E508" s="65" t="s">
        <v>14</v>
      </c>
      <c r="F508" s="34" t="s">
        <v>11</v>
      </c>
    </row>
    <row r="509" spans="1:6" ht="21">
      <c r="A509" s="48">
        <v>511</v>
      </c>
      <c r="B509" s="44" t="s">
        <v>502</v>
      </c>
      <c r="C509" s="4" t="s">
        <v>119</v>
      </c>
      <c r="D509" s="5" t="s">
        <v>416</v>
      </c>
      <c r="E509" s="65" t="s">
        <v>14</v>
      </c>
      <c r="F509" s="34" t="s">
        <v>11</v>
      </c>
    </row>
    <row r="510" spans="1:6" ht="21">
      <c r="A510" s="48">
        <v>512</v>
      </c>
      <c r="B510" s="44" t="s">
        <v>503</v>
      </c>
      <c r="C510" s="4" t="s">
        <v>119</v>
      </c>
      <c r="D510" s="5" t="s">
        <v>416</v>
      </c>
      <c r="E510" s="65" t="s">
        <v>17</v>
      </c>
      <c r="F510" s="34" t="s">
        <v>11</v>
      </c>
    </row>
    <row r="511" spans="1:6" ht="21">
      <c r="A511" s="48">
        <v>513</v>
      </c>
      <c r="B511" s="44" t="s">
        <v>504</v>
      </c>
      <c r="C511" s="4" t="s">
        <v>119</v>
      </c>
      <c r="D511" s="5" t="s">
        <v>416</v>
      </c>
      <c r="E511" s="65" t="s">
        <v>14</v>
      </c>
      <c r="F511" s="34" t="s">
        <v>11</v>
      </c>
    </row>
    <row r="512" spans="1:6" ht="21">
      <c r="A512" s="48">
        <v>514</v>
      </c>
      <c r="B512" s="44" t="s">
        <v>505</v>
      </c>
      <c r="C512" s="4" t="s">
        <v>119</v>
      </c>
      <c r="D512" s="5" t="s">
        <v>416</v>
      </c>
      <c r="E512" s="65" t="s">
        <v>14</v>
      </c>
      <c r="F512" s="34" t="s">
        <v>11</v>
      </c>
    </row>
    <row r="513" spans="1:6" ht="21">
      <c r="A513" s="48">
        <v>515</v>
      </c>
      <c r="B513" s="44" t="s">
        <v>506</v>
      </c>
      <c r="C513" s="4" t="s">
        <v>119</v>
      </c>
      <c r="D513" s="5" t="s">
        <v>416</v>
      </c>
      <c r="E513" s="65" t="s">
        <v>14</v>
      </c>
      <c r="F513" s="34" t="s">
        <v>11</v>
      </c>
    </row>
    <row r="514" spans="1:6" ht="21">
      <c r="A514" s="48">
        <v>516</v>
      </c>
      <c r="B514" s="44" t="s">
        <v>507</v>
      </c>
      <c r="C514" s="4" t="s">
        <v>119</v>
      </c>
      <c r="D514" s="5" t="s">
        <v>416</v>
      </c>
      <c r="E514" s="65" t="s">
        <v>17</v>
      </c>
      <c r="F514" s="34" t="s">
        <v>11</v>
      </c>
    </row>
    <row r="515" spans="1:6" ht="21">
      <c r="A515" s="48">
        <v>517</v>
      </c>
      <c r="B515" s="44" t="s">
        <v>508</v>
      </c>
      <c r="C515" s="4" t="s">
        <v>119</v>
      </c>
      <c r="D515" s="5" t="s">
        <v>416</v>
      </c>
      <c r="E515" s="65" t="s">
        <v>14</v>
      </c>
      <c r="F515" s="34" t="s">
        <v>11</v>
      </c>
    </row>
    <row r="516" spans="1:6" ht="21">
      <c r="A516" s="48">
        <v>518</v>
      </c>
      <c r="B516" s="44" t="s">
        <v>509</v>
      </c>
      <c r="C516" s="4" t="s">
        <v>119</v>
      </c>
      <c r="D516" s="5" t="s">
        <v>416</v>
      </c>
      <c r="E516" s="65" t="s">
        <v>14</v>
      </c>
      <c r="F516" s="34" t="s">
        <v>11</v>
      </c>
    </row>
    <row r="517" spans="1:6" ht="21">
      <c r="A517" s="48">
        <v>520</v>
      </c>
      <c r="B517" s="44" t="s">
        <v>510</v>
      </c>
      <c r="C517" s="4" t="s">
        <v>119</v>
      </c>
      <c r="D517" s="5" t="s">
        <v>416</v>
      </c>
      <c r="E517" s="65" t="s">
        <v>14</v>
      </c>
      <c r="F517" s="34" t="s">
        <v>11</v>
      </c>
    </row>
    <row r="518" spans="1:6" ht="21">
      <c r="A518" s="48">
        <v>521</v>
      </c>
      <c r="B518" s="44" t="s">
        <v>511</v>
      </c>
      <c r="C518" s="4" t="s">
        <v>119</v>
      </c>
      <c r="D518" s="5" t="s">
        <v>416</v>
      </c>
      <c r="E518" s="65" t="s">
        <v>14</v>
      </c>
      <c r="F518" s="34" t="s">
        <v>11</v>
      </c>
    </row>
    <row r="519" spans="1:6" ht="21">
      <c r="A519" s="48">
        <v>522</v>
      </c>
      <c r="B519" s="44" t="s">
        <v>512</v>
      </c>
      <c r="C519" s="4" t="s">
        <v>119</v>
      </c>
      <c r="D519" s="5" t="s">
        <v>416</v>
      </c>
      <c r="E519" s="65" t="s">
        <v>14</v>
      </c>
      <c r="F519" s="34" t="s">
        <v>11</v>
      </c>
    </row>
    <row r="520" spans="1:6" ht="21">
      <c r="A520" s="48">
        <v>523</v>
      </c>
      <c r="B520" s="44" t="s">
        <v>513</v>
      </c>
      <c r="C520" s="4" t="s">
        <v>119</v>
      </c>
      <c r="D520" s="5" t="s">
        <v>416</v>
      </c>
      <c r="E520" s="65" t="s">
        <v>14</v>
      </c>
      <c r="F520" s="34" t="s">
        <v>11</v>
      </c>
    </row>
    <row r="521" spans="1:6" ht="21">
      <c r="A521" s="48">
        <v>524</v>
      </c>
      <c r="B521" s="44" t="s">
        <v>514</v>
      </c>
      <c r="C521" s="4" t="s">
        <v>119</v>
      </c>
      <c r="D521" s="5" t="s">
        <v>416</v>
      </c>
      <c r="E521" s="65" t="s">
        <v>14</v>
      </c>
      <c r="F521" s="34" t="s">
        <v>11</v>
      </c>
    </row>
    <row r="522" spans="1:6" ht="21">
      <c r="A522" s="48">
        <v>525</v>
      </c>
      <c r="B522" s="44" t="s">
        <v>515</v>
      </c>
      <c r="C522" s="4" t="s">
        <v>119</v>
      </c>
      <c r="D522" s="5" t="s">
        <v>416</v>
      </c>
      <c r="E522" s="65" t="s">
        <v>14</v>
      </c>
      <c r="F522" s="34" t="s">
        <v>11</v>
      </c>
    </row>
    <row r="523" spans="1:6" ht="21">
      <c r="A523" s="48">
        <v>526</v>
      </c>
      <c r="B523" s="44" t="s">
        <v>516</v>
      </c>
      <c r="C523" s="4" t="s">
        <v>119</v>
      </c>
      <c r="D523" s="5" t="s">
        <v>416</v>
      </c>
      <c r="E523" s="65" t="s">
        <v>14</v>
      </c>
      <c r="F523" s="34" t="s">
        <v>11</v>
      </c>
    </row>
    <row r="524" spans="1:6" ht="21">
      <c r="A524" s="48">
        <v>527</v>
      </c>
      <c r="B524" s="44" t="s">
        <v>517</v>
      </c>
      <c r="C524" s="4" t="s">
        <v>119</v>
      </c>
      <c r="D524" s="5" t="s">
        <v>416</v>
      </c>
      <c r="E524" s="65" t="s">
        <v>14</v>
      </c>
      <c r="F524" s="34" t="s">
        <v>11</v>
      </c>
    </row>
    <row r="525" spans="1:6" ht="21">
      <c r="A525" s="48">
        <v>528</v>
      </c>
      <c r="B525" s="44" t="s">
        <v>518</v>
      </c>
      <c r="C525" s="4" t="s">
        <v>119</v>
      </c>
      <c r="D525" s="5" t="s">
        <v>416</v>
      </c>
      <c r="E525" s="65" t="s">
        <v>14</v>
      </c>
      <c r="F525" s="34" t="s">
        <v>11</v>
      </c>
    </row>
    <row r="526" spans="1:6" ht="21">
      <c r="A526" s="48">
        <v>529</v>
      </c>
      <c r="B526" s="44" t="s">
        <v>519</v>
      </c>
      <c r="C526" s="4" t="s">
        <v>119</v>
      </c>
      <c r="D526" s="5" t="s">
        <v>416</v>
      </c>
      <c r="E526" s="65" t="s">
        <v>14</v>
      </c>
      <c r="F526" s="34" t="s">
        <v>11</v>
      </c>
    </row>
    <row r="527" spans="1:6" ht="21">
      <c r="A527" s="48">
        <v>530</v>
      </c>
      <c r="B527" s="44" t="s">
        <v>520</v>
      </c>
      <c r="C527" s="4" t="s">
        <v>119</v>
      </c>
      <c r="D527" s="5" t="s">
        <v>416</v>
      </c>
      <c r="E527" s="65" t="s">
        <v>14</v>
      </c>
      <c r="F527" s="34" t="s">
        <v>11</v>
      </c>
    </row>
    <row r="528" spans="1:6" ht="21">
      <c r="A528" s="48">
        <v>531</v>
      </c>
      <c r="B528" s="44" t="s">
        <v>521</v>
      </c>
      <c r="C528" s="4" t="s">
        <v>119</v>
      </c>
      <c r="D528" s="5" t="s">
        <v>416</v>
      </c>
      <c r="E528" s="65" t="s">
        <v>14</v>
      </c>
      <c r="F528" s="34" t="s">
        <v>11</v>
      </c>
    </row>
    <row r="529" spans="1:6" ht="21">
      <c r="A529" s="48">
        <v>532</v>
      </c>
      <c r="B529" s="44" t="s">
        <v>522</v>
      </c>
      <c r="C529" s="4" t="s">
        <v>119</v>
      </c>
      <c r="D529" s="5" t="s">
        <v>416</v>
      </c>
      <c r="E529" s="65" t="s">
        <v>14</v>
      </c>
      <c r="F529" s="34" t="s">
        <v>11</v>
      </c>
    </row>
    <row r="530" spans="1:6" ht="21">
      <c r="A530" s="48">
        <v>533</v>
      </c>
      <c r="B530" s="44" t="s">
        <v>523</v>
      </c>
      <c r="C530" s="4" t="s">
        <v>119</v>
      </c>
      <c r="D530" s="5" t="s">
        <v>416</v>
      </c>
      <c r="E530" s="65" t="s">
        <v>14</v>
      </c>
      <c r="F530" s="34" t="s">
        <v>11</v>
      </c>
    </row>
    <row r="531" spans="1:6" ht="21">
      <c r="A531" s="48">
        <v>534</v>
      </c>
      <c r="B531" s="44" t="s">
        <v>524</v>
      </c>
      <c r="C531" s="4" t="s">
        <v>119</v>
      </c>
      <c r="D531" s="5" t="s">
        <v>416</v>
      </c>
      <c r="E531" s="65" t="s">
        <v>14</v>
      </c>
      <c r="F531" s="34" t="s">
        <v>11</v>
      </c>
    </row>
    <row r="532" spans="1:6" ht="21">
      <c r="A532" s="48">
        <v>535</v>
      </c>
      <c r="B532" s="44" t="s">
        <v>525</v>
      </c>
      <c r="C532" s="4" t="s">
        <v>119</v>
      </c>
      <c r="D532" s="5" t="s">
        <v>416</v>
      </c>
      <c r="E532" s="65" t="s">
        <v>14</v>
      </c>
      <c r="F532" s="34" t="s">
        <v>11</v>
      </c>
    </row>
    <row r="533" spans="1:6" ht="21">
      <c r="A533" s="48">
        <v>536</v>
      </c>
      <c r="B533" s="44" t="s">
        <v>526</v>
      </c>
      <c r="C533" s="4" t="s">
        <v>119</v>
      </c>
      <c r="D533" s="5" t="s">
        <v>416</v>
      </c>
      <c r="E533" s="65" t="s">
        <v>14</v>
      </c>
      <c r="F533" s="34" t="s">
        <v>11</v>
      </c>
    </row>
    <row r="534" spans="1:6" ht="21">
      <c r="A534" s="48">
        <v>537</v>
      </c>
      <c r="B534" s="44" t="s">
        <v>527</v>
      </c>
      <c r="C534" s="4" t="s">
        <v>119</v>
      </c>
      <c r="D534" s="5" t="s">
        <v>416</v>
      </c>
      <c r="E534" s="65" t="s">
        <v>14</v>
      </c>
      <c r="F534" s="34" t="s">
        <v>11</v>
      </c>
    </row>
    <row r="535" spans="1:6" ht="21">
      <c r="A535" s="48">
        <v>538</v>
      </c>
      <c r="B535" s="44" t="s">
        <v>528</v>
      </c>
      <c r="C535" s="4" t="s">
        <v>119</v>
      </c>
      <c r="D535" s="5" t="s">
        <v>416</v>
      </c>
      <c r="E535" s="65" t="s">
        <v>14</v>
      </c>
      <c r="F535" s="34" t="s">
        <v>11</v>
      </c>
    </row>
    <row r="536" spans="1:6" ht="21">
      <c r="A536" s="48">
        <v>539</v>
      </c>
      <c r="B536" s="44" t="s">
        <v>529</v>
      </c>
      <c r="C536" s="4" t="s">
        <v>119</v>
      </c>
      <c r="D536" s="5" t="s">
        <v>416</v>
      </c>
      <c r="E536" s="65" t="s">
        <v>14</v>
      </c>
      <c r="F536" s="34" t="s">
        <v>11</v>
      </c>
    </row>
    <row r="537" spans="1:6" ht="21">
      <c r="A537" s="48">
        <v>540</v>
      </c>
      <c r="B537" s="44" t="s">
        <v>530</v>
      </c>
      <c r="C537" s="4" t="s">
        <v>119</v>
      </c>
      <c r="D537" s="5" t="s">
        <v>416</v>
      </c>
      <c r="E537" s="65" t="s">
        <v>14</v>
      </c>
      <c r="F537" s="34" t="s">
        <v>11</v>
      </c>
    </row>
    <row r="538" spans="1:6" ht="21">
      <c r="A538" s="48">
        <v>541</v>
      </c>
      <c r="B538" s="44" t="s">
        <v>531</v>
      </c>
      <c r="C538" s="4" t="s">
        <v>119</v>
      </c>
      <c r="D538" s="5" t="s">
        <v>416</v>
      </c>
      <c r="E538" s="65" t="s">
        <v>14</v>
      </c>
      <c r="F538" s="34" t="s">
        <v>11</v>
      </c>
    </row>
    <row r="539" spans="1:6" ht="21">
      <c r="A539" s="48">
        <v>542</v>
      </c>
      <c r="B539" s="44" t="s">
        <v>532</v>
      </c>
      <c r="C539" s="4" t="s">
        <v>119</v>
      </c>
      <c r="D539" s="5" t="s">
        <v>416</v>
      </c>
      <c r="E539" s="65" t="s">
        <v>14</v>
      </c>
      <c r="F539" s="34" t="s">
        <v>11</v>
      </c>
    </row>
    <row r="540" spans="1:6" ht="21">
      <c r="A540" s="48">
        <v>549</v>
      </c>
      <c r="B540" s="44" t="s">
        <v>533</v>
      </c>
      <c r="C540" s="4" t="s">
        <v>119</v>
      </c>
      <c r="D540" s="5" t="s">
        <v>416</v>
      </c>
      <c r="E540" s="65" t="s">
        <v>14</v>
      </c>
      <c r="F540" s="34" t="s">
        <v>11</v>
      </c>
    </row>
    <row r="541" spans="1:6" ht="21">
      <c r="A541" s="48">
        <v>550</v>
      </c>
      <c r="B541" s="44" t="s">
        <v>534</v>
      </c>
      <c r="C541" s="4" t="s">
        <v>119</v>
      </c>
      <c r="D541" s="5" t="s">
        <v>416</v>
      </c>
      <c r="E541" s="65" t="s">
        <v>14</v>
      </c>
      <c r="F541" s="34" t="s">
        <v>11</v>
      </c>
    </row>
    <row r="542" spans="1:6" ht="21">
      <c r="A542" s="48">
        <v>551</v>
      </c>
      <c r="B542" s="44" t="s">
        <v>535</v>
      </c>
      <c r="C542" s="4" t="s">
        <v>119</v>
      </c>
      <c r="D542" s="5" t="s">
        <v>416</v>
      </c>
      <c r="E542" s="65" t="s">
        <v>188</v>
      </c>
      <c r="F542" s="34" t="s">
        <v>11</v>
      </c>
    </row>
    <row r="543" spans="1:6" ht="21">
      <c r="A543" s="48">
        <v>552</v>
      </c>
      <c r="B543" s="44" t="s">
        <v>536</v>
      </c>
      <c r="C543" s="4" t="s">
        <v>119</v>
      </c>
      <c r="D543" s="5" t="s">
        <v>416</v>
      </c>
      <c r="E543" s="65" t="s">
        <v>188</v>
      </c>
      <c r="F543" s="34" t="s">
        <v>11</v>
      </c>
    </row>
    <row r="544" spans="1:6" ht="21">
      <c r="A544" s="48">
        <v>553</v>
      </c>
      <c r="B544" s="44" t="s">
        <v>537</v>
      </c>
      <c r="C544" s="4" t="s">
        <v>119</v>
      </c>
      <c r="D544" s="5" t="s">
        <v>416</v>
      </c>
      <c r="E544" s="65" t="s">
        <v>188</v>
      </c>
      <c r="F544" s="34" t="s">
        <v>11</v>
      </c>
    </row>
    <row r="545" spans="1:6" ht="21">
      <c r="A545" s="48">
        <v>554</v>
      </c>
      <c r="B545" s="44" t="s">
        <v>538</v>
      </c>
      <c r="C545" s="4" t="s">
        <v>119</v>
      </c>
      <c r="D545" s="5" t="s">
        <v>416</v>
      </c>
      <c r="E545" s="65" t="s">
        <v>188</v>
      </c>
      <c r="F545" s="34" t="s">
        <v>11</v>
      </c>
    </row>
    <row r="546" spans="1:6" ht="21">
      <c r="A546" s="48">
        <v>555</v>
      </c>
      <c r="B546" s="44" t="s">
        <v>539</v>
      </c>
      <c r="C546" s="4" t="s">
        <v>119</v>
      </c>
      <c r="D546" s="5" t="s">
        <v>416</v>
      </c>
      <c r="E546" s="65" t="s">
        <v>188</v>
      </c>
      <c r="F546" s="34" t="s">
        <v>11</v>
      </c>
    </row>
    <row r="547" spans="1:6" ht="21">
      <c r="A547" s="48">
        <v>556</v>
      </c>
      <c r="B547" s="44" t="s">
        <v>540</v>
      </c>
      <c r="C547" s="4" t="s">
        <v>119</v>
      </c>
      <c r="D547" s="5" t="s">
        <v>416</v>
      </c>
      <c r="E547" s="65" t="s">
        <v>188</v>
      </c>
      <c r="F547" s="34" t="s">
        <v>11</v>
      </c>
    </row>
    <row r="548" spans="1:6" ht="21">
      <c r="A548" s="48">
        <v>557</v>
      </c>
      <c r="B548" s="44" t="s">
        <v>535</v>
      </c>
      <c r="C548" s="4" t="s">
        <v>119</v>
      </c>
      <c r="D548" s="5" t="s">
        <v>416</v>
      </c>
      <c r="E548" s="65" t="s">
        <v>188</v>
      </c>
      <c r="F548" s="34" t="s">
        <v>11</v>
      </c>
    </row>
    <row r="549" spans="1:6" ht="21">
      <c r="A549" s="48">
        <v>558</v>
      </c>
      <c r="B549" s="44" t="s">
        <v>541</v>
      </c>
      <c r="C549" s="4" t="s">
        <v>119</v>
      </c>
      <c r="D549" s="5" t="s">
        <v>416</v>
      </c>
      <c r="E549" s="65" t="s">
        <v>188</v>
      </c>
      <c r="F549" s="34" t="s">
        <v>11</v>
      </c>
    </row>
    <row r="550" spans="1:6" ht="21">
      <c r="A550" s="48">
        <v>559</v>
      </c>
      <c r="B550" s="44" t="s">
        <v>542</v>
      </c>
      <c r="C550" s="4" t="s">
        <v>119</v>
      </c>
      <c r="D550" s="5" t="s">
        <v>416</v>
      </c>
      <c r="E550" s="65" t="s">
        <v>188</v>
      </c>
      <c r="F550" s="34" t="s">
        <v>11</v>
      </c>
    </row>
    <row r="551" spans="1:6" ht="21">
      <c r="A551" s="48">
        <v>560</v>
      </c>
      <c r="B551" s="44" t="s">
        <v>543</v>
      </c>
      <c r="C551" s="4" t="s">
        <v>119</v>
      </c>
      <c r="D551" s="5" t="s">
        <v>416</v>
      </c>
      <c r="E551" s="65" t="s">
        <v>188</v>
      </c>
      <c r="F551" s="34" t="s">
        <v>11</v>
      </c>
    </row>
    <row r="552" spans="1:6" ht="21">
      <c r="A552" s="48">
        <v>561</v>
      </c>
      <c r="B552" s="44" t="s">
        <v>544</v>
      </c>
      <c r="C552" s="4" t="s">
        <v>119</v>
      </c>
      <c r="D552" s="5" t="s">
        <v>416</v>
      </c>
      <c r="E552" s="65" t="s">
        <v>188</v>
      </c>
      <c r="F552" s="34" t="s">
        <v>11</v>
      </c>
    </row>
    <row r="553" spans="1:6" ht="21">
      <c r="A553" s="48">
        <v>562</v>
      </c>
      <c r="B553" s="44" t="s">
        <v>545</v>
      </c>
      <c r="C553" s="4" t="s">
        <v>119</v>
      </c>
      <c r="D553" s="5" t="s">
        <v>416</v>
      </c>
      <c r="E553" s="65" t="s">
        <v>188</v>
      </c>
      <c r="F553" s="34" t="s">
        <v>11</v>
      </c>
    </row>
    <row r="554" spans="1:6" ht="21">
      <c r="A554" s="48">
        <v>563</v>
      </c>
      <c r="B554" s="44" t="s">
        <v>546</v>
      </c>
      <c r="C554" s="4" t="s">
        <v>157</v>
      </c>
      <c r="D554" s="5" t="s">
        <v>416</v>
      </c>
      <c r="E554" s="65" t="s">
        <v>188</v>
      </c>
      <c r="F554" s="34" t="s">
        <v>11</v>
      </c>
    </row>
    <row r="555" spans="1:6" ht="21">
      <c r="A555" s="48">
        <v>564</v>
      </c>
      <c r="B555" s="44" t="s">
        <v>547</v>
      </c>
      <c r="C555" s="4" t="s">
        <v>157</v>
      </c>
      <c r="D555" s="5" t="s">
        <v>416</v>
      </c>
      <c r="E555" s="65" t="s">
        <v>14</v>
      </c>
      <c r="F555" s="34" t="s">
        <v>11</v>
      </c>
    </row>
    <row r="556" spans="1:6" ht="21">
      <c r="A556" s="48">
        <v>565</v>
      </c>
      <c r="B556" s="44" t="s">
        <v>548</v>
      </c>
      <c r="C556" s="4" t="s">
        <v>157</v>
      </c>
      <c r="D556" s="5" t="s">
        <v>416</v>
      </c>
      <c r="E556" s="65" t="s">
        <v>14</v>
      </c>
      <c r="F556" s="34" t="s">
        <v>11</v>
      </c>
    </row>
    <row r="557" spans="1:6" ht="21">
      <c r="A557" s="48">
        <v>566</v>
      </c>
      <c r="B557" s="44" t="s">
        <v>549</v>
      </c>
      <c r="C557" s="4" t="s">
        <v>157</v>
      </c>
      <c r="D557" s="5" t="s">
        <v>416</v>
      </c>
      <c r="E557" s="65" t="s">
        <v>14</v>
      </c>
      <c r="F557" s="34" t="s">
        <v>11</v>
      </c>
    </row>
    <row r="558" spans="1:6" ht="21">
      <c r="A558" s="48">
        <v>567</v>
      </c>
      <c r="B558" s="44" t="s">
        <v>550</v>
      </c>
      <c r="C558" s="4" t="s">
        <v>157</v>
      </c>
      <c r="D558" s="5" t="s">
        <v>416</v>
      </c>
      <c r="E558" s="65" t="s">
        <v>14</v>
      </c>
      <c r="F558" s="34" t="s">
        <v>11</v>
      </c>
    </row>
    <row r="559" spans="1:6" ht="21">
      <c r="A559" s="48">
        <v>568</v>
      </c>
      <c r="B559" s="44" t="s">
        <v>551</v>
      </c>
      <c r="C559" s="4" t="s">
        <v>157</v>
      </c>
      <c r="D559" s="5" t="s">
        <v>416</v>
      </c>
      <c r="E559" s="65" t="s">
        <v>14</v>
      </c>
      <c r="F559" s="34" t="s">
        <v>11</v>
      </c>
    </row>
    <row r="560" spans="1:6" ht="21">
      <c r="A560" s="48">
        <v>569</v>
      </c>
      <c r="B560" s="44" t="s">
        <v>552</v>
      </c>
      <c r="C560" s="4" t="s">
        <v>157</v>
      </c>
      <c r="D560" s="5" t="s">
        <v>416</v>
      </c>
      <c r="E560" s="65" t="s">
        <v>14</v>
      </c>
      <c r="F560" s="34" t="s">
        <v>11</v>
      </c>
    </row>
    <row r="561" spans="1:6" ht="21">
      <c r="A561" s="48">
        <v>570</v>
      </c>
      <c r="B561" s="44" t="s">
        <v>553</v>
      </c>
      <c r="C561" s="4" t="s">
        <v>157</v>
      </c>
      <c r="D561" s="5" t="s">
        <v>416</v>
      </c>
      <c r="E561" s="65" t="s">
        <v>17</v>
      </c>
      <c r="F561" s="34" t="s">
        <v>11</v>
      </c>
    </row>
    <row r="562" spans="1:6" ht="21">
      <c r="A562" s="48">
        <v>571</v>
      </c>
      <c r="B562" s="44" t="s">
        <v>554</v>
      </c>
      <c r="C562" s="4" t="s">
        <v>157</v>
      </c>
      <c r="D562" s="5" t="s">
        <v>416</v>
      </c>
      <c r="E562" s="65" t="s">
        <v>14</v>
      </c>
      <c r="F562" s="34" t="s">
        <v>11</v>
      </c>
    </row>
    <row r="563" spans="1:6" ht="21">
      <c r="A563" s="48">
        <v>572</v>
      </c>
      <c r="B563" s="44" t="s">
        <v>555</v>
      </c>
      <c r="C563" s="4" t="s">
        <v>157</v>
      </c>
      <c r="D563" s="5" t="s">
        <v>416</v>
      </c>
      <c r="E563" s="65" t="s">
        <v>14</v>
      </c>
      <c r="F563" s="34" t="s">
        <v>11</v>
      </c>
    </row>
    <row r="564" spans="1:6" ht="21">
      <c r="A564" s="48">
        <v>573</v>
      </c>
      <c r="B564" s="44" t="s">
        <v>556</v>
      </c>
      <c r="C564" s="4" t="s">
        <v>157</v>
      </c>
      <c r="D564" s="5" t="s">
        <v>416</v>
      </c>
      <c r="E564" s="65" t="s">
        <v>14</v>
      </c>
      <c r="F564" s="34" t="s">
        <v>11</v>
      </c>
    </row>
    <row r="565" spans="1:6" ht="21">
      <c r="A565" s="48">
        <v>574</v>
      </c>
      <c r="B565" s="44" t="s">
        <v>557</v>
      </c>
      <c r="C565" s="4" t="s">
        <v>157</v>
      </c>
      <c r="D565" s="5" t="s">
        <v>416</v>
      </c>
      <c r="E565" s="65" t="s">
        <v>17</v>
      </c>
      <c r="F565" s="34" t="s">
        <v>11</v>
      </c>
    </row>
    <row r="566" spans="1:6" ht="21">
      <c r="A566" s="48">
        <v>575</v>
      </c>
      <c r="B566" s="44" t="s">
        <v>558</v>
      </c>
      <c r="C566" s="4" t="s">
        <v>157</v>
      </c>
      <c r="D566" s="5" t="s">
        <v>416</v>
      </c>
      <c r="E566" s="65" t="s">
        <v>14</v>
      </c>
      <c r="F566" s="34" t="s">
        <v>11</v>
      </c>
    </row>
    <row r="567" spans="1:6" ht="21">
      <c r="A567" s="48">
        <v>576</v>
      </c>
      <c r="B567" s="44" t="s">
        <v>559</v>
      </c>
      <c r="C567" s="4" t="s">
        <v>157</v>
      </c>
      <c r="D567" s="5" t="s">
        <v>416</v>
      </c>
      <c r="E567" s="65" t="s">
        <v>144</v>
      </c>
      <c r="F567" s="34" t="s">
        <v>11</v>
      </c>
    </row>
    <row r="568" spans="1:6" ht="21">
      <c r="A568" s="48">
        <v>577</v>
      </c>
      <c r="B568" s="44" t="s">
        <v>560</v>
      </c>
      <c r="C568" s="4" t="s">
        <v>157</v>
      </c>
      <c r="D568" s="5" t="s">
        <v>416</v>
      </c>
      <c r="E568" s="65" t="s">
        <v>14</v>
      </c>
      <c r="F568" s="34" t="s">
        <v>11</v>
      </c>
    </row>
    <row r="569" spans="1:6" ht="21">
      <c r="A569" s="48">
        <v>578</v>
      </c>
      <c r="B569" s="44" t="s">
        <v>561</v>
      </c>
      <c r="C569" s="4" t="s">
        <v>157</v>
      </c>
      <c r="D569" s="5" t="s">
        <v>416</v>
      </c>
      <c r="E569" s="65" t="s">
        <v>14</v>
      </c>
      <c r="F569" s="34" t="s">
        <v>11</v>
      </c>
    </row>
    <row r="570" spans="1:6" ht="21">
      <c r="A570" s="48">
        <v>579</v>
      </c>
      <c r="B570" s="44" t="s">
        <v>562</v>
      </c>
      <c r="C570" s="4" t="s">
        <v>157</v>
      </c>
      <c r="D570" s="5" t="s">
        <v>416</v>
      </c>
      <c r="E570" s="65" t="s">
        <v>14</v>
      </c>
      <c r="F570" s="34" t="s">
        <v>11</v>
      </c>
    </row>
    <row r="571" spans="1:6" ht="21">
      <c r="A571" s="48">
        <v>580</v>
      </c>
      <c r="B571" s="44" t="s">
        <v>563</v>
      </c>
      <c r="C571" s="4" t="s">
        <v>157</v>
      </c>
      <c r="D571" s="5" t="s">
        <v>416</v>
      </c>
      <c r="E571" s="65" t="s">
        <v>179</v>
      </c>
      <c r="F571" s="34" t="s">
        <v>11</v>
      </c>
    </row>
    <row r="572" spans="1:6" ht="21">
      <c r="A572" s="48">
        <v>581</v>
      </c>
      <c r="B572" s="44" t="s">
        <v>564</v>
      </c>
      <c r="C572" s="4" t="s">
        <v>157</v>
      </c>
      <c r="D572" s="5" t="s">
        <v>416</v>
      </c>
      <c r="E572" s="65" t="s">
        <v>14</v>
      </c>
      <c r="F572" s="34" t="s">
        <v>11</v>
      </c>
    </row>
    <row r="573" spans="1:6" ht="21">
      <c r="A573" s="48">
        <v>582</v>
      </c>
      <c r="B573" s="44" t="s">
        <v>565</v>
      </c>
      <c r="C573" s="4" t="s">
        <v>157</v>
      </c>
      <c r="D573" s="5" t="s">
        <v>416</v>
      </c>
      <c r="E573" s="65" t="s">
        <v>17</v>
      </c>
      <c r="F573" s="34" t="s">
        <v>11</v>
      </c>
    </row>
    <row r="574" spans="1:6" ht="21">
      <c r="A574" s="48">
        <v>583</v>
      </c>
      <c r="B574" s="44" t="s">
        <v>566</v>
      </c>
      <c r="C574" s="4" t="s">
        <v>157</v>
      </c>
      <c r="D574" s="5" t="s">
        <v>416</v>
      </c>
      <c r="E574" s="65" t="s">
        <v>144</v>
      </c>
      <c r="F574" s="34" t="s">
        <v>11</v>
      </c>
    </row>
    <row r="575" spans="1:6" ht="21">
      <c r="A575" s="48">
        <v>584</v>
      </c>
      <c r="B575" s="44" t="s">
        <v>567</v>
      </c>
      <c r="C575" s="4" t="s">
        <v>157</v>
      </c>
      <c r="D575" s="5" t="s">
        <v>416</v>
      </c>
      <c r="E575" s="65" t="s">
        <v>17</v>
      </c>
      <c r="F575" s="34" t="s">
        <v>11</v>
      </c>
    </row>
    <row r="576" spans="1:6" ht="20.25">
      <c r="A576" s="48">
        <v>585</v>
      </c>
      <c r="B576" s="57" t="s">
        <v>568</v>
      </c>
      <c r="C576" s="4" t="s">
        <v>157</v>
      </c>
      <c r="D576" s="5" t="s">
        <v>21</v>
      </c>
      <c r="E576" s="65" t="s">
        <v>22</v>
      </c>
      <c r="F576" s="34" t="s">
        <v>11</v>
      </c>
    </row>
    <row r="577" spans="1:6" ht="20.25">
      <c r="A577" s="48">
        <v>611</v>
      </c>
      <c r="B577" s="58" t="s">
        <v>569</v>
      </c>
      <c r="C577" s="4" t="s">
        <v>157</v>
      </c>
      <c r="D577" s="5" t="s">
        <v>21</v>
      </c>
      <c r="E577" s="65" t="s">
        <v>22</v>
      </c>
      <c r="F577" s="34" t="s">
        <v>11</v>
      </c>
    </row>
    <row r="578" spans="1:6" ht="20.25">
      <c r="A578" s="48">
        <v>612</v>
      </c>
      <c r="B578" s="58" t="s">
        <v>570</v>
      </c>
      <c r="C578" s="4" t="s">
        <v>157</v>
      </c>
      <c r="D578" s="5" t="s">
        <v>21</v>
      </c>
      <c r="E578" s="65" t="s">
        <v>22</v>
      </c>
      <c r="F578" s="34" t="s">
        <v>11</v>
      </c>
    </row>
    <row r="579" spans="1:6" ht="20.25">
      <c r="A579" s="48">
        <v>613</v>
      </c>
      <c r="B579" s="58" t="s">
        <v>571</v>
      </c>
      <c r="C579" s="4" t="s">
        <v>157</v>
      </c>
      <c r="D579" s="5" t="s">
        <v>21</v>
      </c>
      <c r="E579" s="65" t="s">
        <v>179</v>
      </c>
      <c r="F579" s="34" t="s">
        <v>11</v>
      </c>
    </row>
    <row r="580" spans="1:6" ht="20.25">
      <c r="A580" s="48">
        <v>614</v>
      </c>
      <c r="B580" s="58" t="s">
        <v>572</v>
      </c>
      <c r="C580" s="4" t="s">
        <v>157</v>
      </c>
      <c r="D580" s="5" t="s">
        <v>21</v>
      </c>
      <c r="E580" s="65" t="s">
        <v>573</v>
      </c>
      <c r="F580" s="34" t="s">
        <v>11</v>
      </c>
    </row>
    <row r="581" spans="1:6" ht="20.25">
      <c r="A581" s="48">
        <v>615</v>
      </c>
      <c r="B581" s="58" t="s">
        <v>574</v>
      </c>
      <c r="C581" s="4" t="s">
        <v>8</v>
      </c>
      <c r="D581" s="5" t="s">
        <v>21</v>
      </c>
      <c r="E581" s="65" t="s">
        <v>179</v>
      </c>
      <c r="F581" s="34" t="s">
        <v>11</v>
      </c>
    </row>
    <row r="582" spans="1:6" ht="20.25">
      <c r="A582" s="48">
        <v>616</v>
      </c>
      <c r="B582" s="58" t="s">
        <v>575</v>
      </c>
      <c r="C582" s="4" t="s">
        <v>157</v>
      </c>
      <c r="D582" s="5" t="s">
        <v>21</v>
      </c>
      <c r="E582" s="65" t="s">
        <v>22</v>
      </c>
      <c r="F582" s="34" t="s">
        <v>11</v>
      </c>
    </row>
    <row r="583" spans="1:6" ht="20.25">
      <c r="A583" s="48">
        <v>617</v>
      </c>
      <c r="B583" s="58" t="s">
        <v>576</v>
      </c>
      <c r="C583" s="4" t="s">
        <v>157</v>
      </c>
      <c r="D583" s="5" t="s">
        <v>21</v>
      </c>
      <c r="E583" s="65" t="s">
        <v>22</v>
      </c>
      <c r="F583" s="34" t="s">
        <v>11</v>
      </c>
    </row>
    <row r="584" spans="1:6" ht="20.25">
      <c r="A584" s="48">
        <v>618</v>
      </c>
      <c r="B584" s="58" t="s">
        <v>577</v>
      </c>
      <c r="C584" s="4" t="s">
        <v>157</v>
      </c>
      <c r="D584" s="5" t="s">
        <v>21</v>
      </c>
      <c r="E584" s="65" t="s">
        <v>22</v>
      </c>
      <c r="F584" s="34" t="s">
        <v>11</v>
      </c>
    </row>
    <row r="585" spans="1:6" ht="20.25">
      <c r="A585" s="48">
        <v>619</v>
      </c>
      <c r="B585" s="58" t="s">
        <v>578</v>
      </c>
      <c r="C585" s="4" t="s">
        <v>157</v>
      </c>
      <c r="D585" s="5" t="s">
        <v>21</v>
      </c>
      <c r="E585" s="65" t="s">
        <v>22</v>
      </c>
      <c r="F585" s="34" t="s">
        <v>11</v>
      </c>
    </row>
    <row r="586" spans="1:6" ht="20.25">
      <c r="A586" s="48">
        <v>620</v>
      </c>
      <c r="B586" s="58" t="s">
        <v>579</v>
      </c>
      <c r="C586" s="4" t="s">
        <v>157</v>
      </c>
      <c r="D586" s="5" t="s">
        <v>21</v>
      </c>
      <c r="E586" s="65" t="s">
        <v>22</v>
      </c>
      <c r="F586" s="34" t="s">
        <v>11</v>
      </c>
    </row>
    <row r="587" spans="1:6" ht="20.25">
      <c r="A587" s="48">
        <v>621</v>
      </c>
      <c r="B587" s="58" t="s">
        <v>580</v>
      </c>
      <c r="C587" s="4" t="s">
        <v>157</v>
      </c>
      <c r="D587" s="5" t="s">
        <v>21</v>
      </c>
      <c r="E587" s="65" t="s">
        <v>22</v>
      </c>
      <c r="F587" s="34" t="s">
        <v>11</v>
      </c>
    </row>
    <row r="588" spans="1:6" ht="20.25">
      <c r="A588" s="48">
        <v>622</v>
      </c>
      <c r="B588" s="61" t="s">
        <v>581</v>
      </c>
      <c r="C588" s="4" t="s">
        <v>157</v>
      </c>
      <c r="D588" s="5" t="s">
        <v>178</v>
      </c>
      <c r="E588" s="65" t="s">
        <v>179</v>
      </c>
      <c r="F588" s="34" t="s">
        <v>11</v>
      </c>
    </row>
    <row r="589" spans="1:6" ht="20.25">
      <c r="A589" s="48">
        <v>623</v>
      </c>
      <c r="B589" s="62" t="s">
        <v>582</v>
      </c>
      <c r="C589" s="4" t="s">
        <v>157</v>
      </c>
      <c r="D589" s="5" t="s">
        <v>178</v>
      </c>
      <c r="E589" s="65" t="s">
        <v>179</v>
      </c>
      <c r="F589" s="34" t="s">
        <v>11</v>
      </c>
    </row>
    <row r="590" spans="1:6" ht="20.25">
      <c r="A590" s="48">
        <v>624</v>
      </c>
      <c r="B590" s="63" t="s">
        <v>583</v>
      </c>
      <c r="C590" s="4" t="s">
        <v>157</v>
      </c>
      <c r="D590" s="5" t="s">
        <v>178</v>
      </c>
      <c r="E590" s="65" t="s">
        <v>179</v>
      </c>
      <c r="F590" s="34" t="s">
        <v>11</v>
      </c>
    </row>
    <row r="591" spans="1:6" ht="21">
      <c r="A591" s="48">
        <v>625</v>
      </c>
      <c r="B591" s="44" t="s">
        <v>584</v>
      </c>
      <c r="C591" s="4" t="s">
        <v>157</v>
      </c>
      <c r="D591" s="5" t="s">
        <v>178</v>
      </c>
      <c r="E591" s="65" t="s">
        <v>91</v>
      </c>
      <c r="F591" s="34" t="s">
        <v>11</v>
      </c>
    </row>
    <row r="592" spans="1:6" ht="20.25">
      <c r="A592" s="48">
        <v>626</v>
      </c>
      <c r="B592" s="64" t="s">
        <v>585</v>
      </c>
      <c r="C592" s="4" t="s">
        <v>157</v>
      </c>
      <c r="D592" s="5" t="s">
        <v>178</v>
      </c>
      <c r="E592" s="65" t="s">
        <v>91</v>
      </c>
      <c r="F592" s="34" t="s">
        <v>11</v>
      </c>
    </row>
    <row r="593" spans="1:6" ht="21">
      <c r="A593" s="48">
        <v>627</v>
      </c>
      <c r="B593" s="44" t="s">
        <v>586</v>
      </c>
      <c r="C593" s="4" t="s">
        <v>157</v>
      </c>
      <c r="D593" s="5" t="s">
        <v>178</v>
      </c>
      <c r="E593" s="65" t="s">
        <v>91</v>
      </c>
      <c r="F593" s="34" t="s">
        <v>11</v>
      </c>
    </row>
    <row r="594" spans="1:6" ht="21">
      <c r="A594" s="48">
        <v>628</v>
      </c>
      <c r="B594" s="44" t="s">
        <v>587</v>
      </c>
      <c r="C594" s="4" t="s">
        <v>157</v>
      </c>
      <c r="D594" s="5" t="s">
        <v>178</v>
      </c>
      <c r="E594" s="65" t="s">
        <v>91</v>
      </c>
      <c r="F594" s="34" t="s">
        <v>11</v>
      </c>
    </row>
    <row r="595" spans="1:6" ht="21">
      <c r="A595" s="48">
        <v>629</v>
      </c>
      <c r="B595" s="44" t="s">
        <v>588</v>
      </c>
      <c r="C595" s="4" t="s">
        <v>157</v>
      </c>
      <c r="D595" s="5" t="s">
        <v>178</v>
      </c>
      <c r="E595" s="65" t="s">
        <v>91</v>
      </c>
      <c r="F595" s="34" t="s">
        <v>11</v>
      </c>
    </row>
    <row r="596" spans="1:6" ht="21">
      <c r="A596" s="48">
        <v>630</v>
      </c>
      <c r="B596" s="44" t="s">
        <v>589</v>
      </c>
      <c r="C596" s="4" t="s">
        <v>157</v>
      </c>
      <c r="D596" s="5" t="s">
        <v>178</v>
      </c>
      <c r="E596" s="65" t="s">
        <v>179</v>
      </c>
      <c r="F596" s="34" t="s">
        <v>11</v>
      </c>
    </row>
    <row r="597" spans="1:6" ht="20.25">
      <c r="A597" s="48">
        <v>631</v>
      </c>
      <c r="B597" s="63" t="s">
        <v>590</v>
      </c>
      <c r="C597" s="4" t="s">
        <v>157</v>
      </c>
      <c r="D597" s="5" t="s">
        <v>178</v>
      </c>
      <c r="E597" s="65" t="s">
        <v>179</v>
      </c>
      <c r="F597" s="34" t="s">
        <v>11</v>
      </c>
    </row>
    <row r="598" spans="1:6" ht="21">
      <c r="A598" s="48">
        <v>632</v>
      </c>
      <c r="B598" s="44" t="s">
        <v>591</v>
      </c>
      <c r="C598" s="4" t="s">
        <v>157</v>
      </c>
      <c r="D598" s="5" t="s">
        <v>178</v>
      </c>
      <c r="E598" s="65" t="s">
        <v>22</v>
      </c>
      <c r="F598" s="34" t="s">
        <v>11</v>
      </c>
    </row>
    <row r="599" spans="1:6" ht="21">
      <c r="A599" s="48">
        <v>633</v>
      </c>
      <c r="B599" s="44" t="s">
        <v>592</v>
      </c>
      <c r="C599" s="4" t="s">
        <v>157</v>
      </c>
      <c r="D599" s="5" t="s">
        <v>178</v>
      </c>
      <c r="E599" s="65" t="s">
        <v>22</v>
      </c>
      <c r="F599" s="34" t="s">
        <v>11</v>
      </c>
    </row>
    <row r="600" spans="1:6" ht="21">
      <c r="A600" s="48">
        <v>634</v>
      </c>
      <c r="B600" s="44" t="s">
        <v>593</v>
      </c>
      <c r="C600" s="4" t="s">
        <v>157</v>
      </c>
      <c r="D600" s="5" t="s">
        <v>178</v>
      </c>
      <c r="E600" s="65" t="s">
        <v>173</v>
      </c>
      <c r="F600" s="34" t="s">
        <v>11</v>
      </c>
    </row>
    <row r="601" spans="1:6" ht="20.25">
      <c r="A601" s="48">
        <v>635</v>
      </c>
      <c r="B601" s="44" t="s">
        <v>264</v>
      </c>
      <c r="C601" s="4" t="s">
        <v>157</v>
      </c>
      <c r="D601" s="5" t="s">
        <v>178</v>
      </c>
      <c r="E601" s="65" t="s">
        <v>179</v>
      </c>
      <c r="F601" s="34" t="s">
        <v>11</v>
      </c>
    </row>
    <row r="602" spans="1:6" ht="20.25">
      <c r="A602" s="48">
        <v>636</v>
      </c>
      <c r="B602" s="44" t="s">
        <v>594</v>
      </c>
      <c r="C602" s="4"/>
      <c r="D602" s="5" t="s">
        <v>595</v>
      </c>
      <c r="E602" s="65" t="s">
        <v>30</v>
      </c>
      <c r="F602" s="34" t="s">
        <v>11</v>
      </c>
    </row>
    <row r="603" spans="1:6" ht="20.25">
      <c r="A603" s="48">
        <v>637</v>
      </c>
      <c r="B603" s="44" t="s">
        <v>596</v>
      </c>
      <c r="C603" s="4"/>
      <c r="D603" s="5" t="s">
        <v>595</v>
      </c>
      <c r="E603" s="65" t="s">
        <v>30</v>
      </c>
      <c r="F603" s="34" t="s">
        <v>11</v>
      </c>
    </row>
    <row r="604" spans="1:6" ht="20.25">
      <c r="A604" s="48">
        <v>638</v>
      </c>
      <c r="B604" s="44" t="s">
        <v>597</v>
      </c>
      <c r="C604" s="4"/>
      <c r="D604" s="5" t="s">
        <v>595</v>
      </c>
      <c r="E604" s="65" t="s">
        <v>30</v>
      </c>
      <c r="F604" s="34" t="s">
        <v>11</v>
      </c>
    </row>
    <row r="605" spans="1:6" ht="20.25">
      <c r="A605" s="48">
        <v>639</v>
      </c>
      <c r="B605" s="44" t="s">
        <v>598</v>
      </c>
      <c r="C605" s="4"/>
      <c r="D605" s="5" t="s">
        <v>595</v>
      </c>
      <c r="E605" s="65" t="s">
        <v>30</v>
      </c>
      <c r="F605" s="34" t="s">
        <v>11</v>
      </c>
    </row>
    <row r="606" spans="1:6" ht="20.25">
      <c r="A606" s="48">
        <v>640</v>
      </c>
      <c r="B606" s="44" t="s">
        <v>599</v>
      </c>
      <c r="C606" s="4"/>
      <c r="D606" s="5" t="s">
        <v>595</v>
      </c>
      <c r="E606" s="65" t="s">
        <v>30</v>
      </c>
      <c r="F606" s="34" t="s">
        <v>11</v>
      </c>
    </row>
    <row r="607" spans="1:6" ht="20.25">
      <c r="A607" s="48">
        <v>641</v>
      </c>
      <c r="B607" s="44" t="s">
        <v>600</v>
      </c>
      <c r="C607" s="4"/>
      <c r="D607" s="5" t="s">
        <v>595</v>
      </c>
      <c r="E607" s="65" t="s">
        <v>30</v>
      </c>
      <c r="F607" s="34" t="s">
        <v>11</v>
      </c>
    </row>
    <row r="608" spans="1:6" ht="20.25">
      <c r="A608" s="48">
        <v>642</v>
      </c>
      <c r="B608" s="44" t="s">
        <v>601</v>
      </c>
      <c r="C608" s="4"/>
      <c r="D608" s="5" t="s">
        <v>595</v>
      </c>
      <c r="E608" s="65" t="s">
        <v>30</v>
      </c>
      <c r="F608" s="34" t="s">
        <v>11</v>
      </c>
    </row>
    <row r="609" spans="1:6" ht="20.25">
      <c r="A609" s="48">
        <v>643</v>
      </c>
      <c r="B609" s="44" t="s">
        <v>602</v>
      </c>
      <c r="C609" s="4"/>
      <c r="D609" s="5" t="s">
        <v>595</v>
      </c>
      <c r="E609" s="65" t="s">
        <v>30</v>
      </c>
      <c r="F609" s="34" t="s">
        <v>11</v>
      </c>
    </row>
    <row r="610" spans="1:6" ht="20.25">
      <c r="A610" s="48">
        <v>644</v>
      </c>
      <c r="B610" s="44" t="s">
        <v>603</v>
      </c>
      <c r="C610" s="4"/>
      <c r="D610" s="5" t="s">
        <v>595</v>
      </c>
      <c r="E610" s="65" t="s">
        <v>30</v>
      </c>
      <c r="F610" s="34" t="s">
        <v>11</v>
      </c>
    </row>
    <row r="611" spans="1:6" ht="20.25">
      <c r="A611" s="48">
        <v>645</v>
      </c>
      <c r="B611" s="44" t="s">
        <v>604</v>
      </c>
      <c r="C611" s="4"/>
      <c r="D611" s="5" t="s">
        <v>595</v>
      </c>
      <c r="E611" s="65" t="s">
        <v>30</v>
      </c>
      <c r="F611" s="34" t="s">
        <v>11</v>
      </c>
    </row>
    <row r="612" spans="1:6" ht="20.25">
      <c r="A612" s="48">
        <v>646</v>
      </c>
      <c r="B612" s="44" t="s">
        <v>605</v>
      </c>
      <c r="C612" s="4"/>
      <c r="D612" s="5" t="s">
        <v>595</v>
      </c>
      <c r="E612" s="65" t="s">
        <v>30</v>
      </c>
      <c r="F612" s="34" t="s">
        <v>11</v>
      </c>
    </row>
    <row r="613" spans="1:6" ht="20.25">
      <c r="A613" s="48">
        <v>647</v>
      </c>
      <c r="B613" s="44" t="s">
        <v>606</v>
      </c>
      <c r="C613" s="4"/>
      <c r="D613" s="5" t="s">
        <v>595</v>
      </c>
      <c r="E613" s="65" t="s">
        <v>30</v>
      </c>
      <c r="F613" s="34" t="s">
        <v>11</v>
      </c>
    </row>
    <row r="614" spans="1:6" ht="20.25">
      <c r="A614" s="48">
        <v>648</v>
      </c>
      <c r="B614" s="44" t="s">
        <v>607</v>
      </c>
      <c r="C614" s="4"/>
      <c r="D614" s="5" t="s">
        <v>595</v>
      </c>
      <c r="E614" s="65" t="s">
        <v>30</v>
      </c>
      <c r="F614" s="34" t="s">
        <v>11</v>
      </c>
    </row>
    <row r="615" spans="1:6" ht="20.25">
      <c r="A615" s="48">
        <v>649</v>
      </c>
      <c r="B615" s="44" t="s">
        <v>608</v>
      </c>
      <c r="C615" s="4"/>
      <c r="D615" s="5" t="s">
        <v>595</v>
      </c>
      <c r="E615" s="65" t="s">
        <v>30</v>
      </c>
      <c r="F615" s="34" t="s">
        <v>11</v>
      </c>
    </row>
    <row r="616" spans="1:6" ht="20.25">
      <c r="A616" s="48">
        <v>650</v>
      </c>
      <c r="B616" s="44" t="s">
        <v>609</v>
      </c>
      <c r="C616" s="4"/>
      <c r="D616" s="5" t="s">
        <v>595</v>
      </c>
      <c r="E616" s="65" t="s">
        <v>30</v>
      </c>
      <c r="F616" s="34" t="s">
        <v>11</v>
      </c>
    </row>
    <row r="617" spans="1:6" ht="20.25">
      <c r="A617" s="48">
        <v>651</v>
      </c>
      <c r="B617" s="44" t="s">
        <v>610</v>
      </c>
      <c r="C617" s="4"/>
      <c r="D617" s="5" t="s">
        <v>595</v>
      </c>
      <c r="E617" s="65" t="s">
        <v>30</v>
      </c>
      <c r="F617" s="34" t="s">
        <v>11</v>
      </c>
    </row>
    <row r="618" spans="1:6" ht="20.25">
      <c r="A618" s="48">
        <v>652</v>
      </c>
      <c r="B618" s="44" t="s">
        <v>611</v>
      </c>
      <c r="C618" s="4"/>
      <c r="D618" s="5" t="s">
        <v>595</v>
      </c>
      <c r="E618" s="65" t="s">
        <v>30</v>
      </c>
      <c r="F618" s="34" t="s">
        <v>11</v>
      </c>
    </row>
    <row r="619" spans="1:6" ht="20.25">
      <c r="A619" s="48">
        <v>653</v>
      </c>
      <c r="B619" s="44" t="s">
        <v>612</v>
      </c>
      <c r="C619" s="4"/>
      <c r="D619" s="5" t="s">
        <v>595</v>
      </c>
      <c r="E619" s="65" t="s">
        <v>30</v>
      </c>
      <c r="F619" s="34" t="s">
        <v>11</v>
      </c>
    </row>
    <row r="620" spans="1:6" ht="20.25">
      <c r="A620" s="48">
        <v>654</v>
      </c>
      <c r="B620" s="44" t="s">
        <v>613</v>
      </c>
      <c r="C620" s="4"/>
      <c r="D620" s="5" t="s">
        <v>595</v>
      </c>
      <c r="E620" s="65" t="s">
        <v>30</v>
      </c>
      <c r="F620" s="34" t="s">
        <v>11</v>
      </c>
    </row>
    <row r="621" spans="1:6" ht="20.25">
      <c r="A621" s="48">
        <v>655</v>
      </c>
      <c r="B621" s="44" t="s">
        <v>614</v>
      </c>
      <c r="C621" s="4"/>
      <c r="D621" s="5" t="s">
        <v>595</v>
      </c>
      <c r="E621" s="65" t="s">
        <v>30</v>
      </c>
      <c r="F621" s="34" t="s">
        <v>11</v>
      </c>
    </row>
    <row r="622" spans="1:6" ht="20.25">
      <c r="A622" s="48">
        <v>656</v>
      </c>
      <c r="B622" s="44" t="s">
        <v>615</v>
      </c>
      <c r="C622" s="4"/>
      <c r="D622" s="5" t="s">
        <v>595</v>
      </c>
      <c r="E622" s="65" t="s">
        <v>30</v>
      </c>
      <c r="F622" s="34" t="s">
        <v>11</v>
      </c>
    </row>
    <row r="623" spans="1:6" ht="20.25">
      <c r="A623" s="48">
        <v>657</v>
      </c>
      <c r="B623" s="44" t="s">
        <v>616</v>
      </c>
      <c r="C623" s="4"/>
      <c r="D623" s="5" t="s">
        <v>595</v>
      </c>
      <c r="E623" s="65" t="s">
        <v>30</v>
      </c>
      <c r="F623" s="34" t="s">
        <v>11</v>
      </c>
    </row>
    <row r="624" spans="1:6" ht="20.25">
      <c r="A624" s="48">
        <v>658</v>
      </c>
      <c r="B624" s="44" t="s">
        <v>617</v>
      </c>
      <c r="C624" s="4"/>
      <c r="D624" s="5" t="s">
        <v>595</v>
      </c>
      <c r="E624" s="65" t="s">
        <v>30</v>
      </c>
      <c r="F624" s="34" t="s">
        <v>11</v>
      </c>
    </row>
    <row r="625" spans="1:6" ht="20.25">
      <c r="A625" s="48">
        <v>659</v>
      </c>
      <c r="B625" s="44" t="s">
        <v>618</v>
      </c>
      <c r="C625" s="4"/>
      <c r="D625" s="5" t="s">
        <v>595</v>
      </c>
      <c r="E625" s="65" t="s">
        <v>30</v>
      </c>
      <c r="F625" s="34" t="s">
        <v>11</v>
      </c>
    </row>
    <row r="626" spans="1:6" ht="20.25">
      <c r="A626" s="48">
        <v>660</v>
      </c>
      <c r="B626" s="44" t="s">
        <v>619</v>
      </c>
      <c r="C626" s="4"/>
      <c r="D626" s="5" t="s">
        <v>595</v>
      </c>
      <c r="E626" s="65" t="s">
        <v>30</v>
      </c>
      <c r="F626" s="34" t="s">
        <v>11</v>
      </c>
    </row>
    <row r="627" spans="1:6" ht="20.25">
      <c r="A627" s="48">
        <v>661</v>
      </c>
      <c r="B627" s="44" t="s">
        <v>620</v>
      </c>
      <c r="C627" s="4"/>
      <c r="D627" s="5" t="s">
        <v>595</v>
      </c>
      <c r="E627" s="65" t="s">
        <v>30</v>
      </c>
      <c r="F627" s="34" t="s">
        <v>11</v>
      </c>
    </row>
    <row r="628" spans="1:6" ht="20.25">
      <c r="A628" s="48">
        <v>662</v>
      </c>
      <c r="B628" s="44" t="s">
        <v>621</v>
      </c>
      <c r="C628" s="4"/>
      <c r="D628" s="5" t="s">
        <v>595</v>
      </c>
      <c r="E628" s="65" t="s">
        <v>30</v>
      </c>
      <c r="F628" s="34" t="s">
        <v>11</v>
      </c>
    </row>
    <row r="629" spans="1:6" ht="20.25">
      <c r="A629" s="48">
        <v>663</v>
      </c>
      <c r="B629" s="44" t="s">
        <v>622</v>
      </c>
      <c r="C629" s="4"/>
      <c r="D629" s="5" t="s">
        <v>595</v>
      </c>
      <c r="E629" s="65" t="s">
        <v>30</v>
      </c>
      <c r="F629" s="34" t="s">
        <v>11</v>
      </c>
    </row>
    <row r="630" spans="1:6" ht="20.25">
      <c r="A630" s="48">
        <v>664</v>
      </c>
      <c r="B630" s="44" t="s">
        <v>623</v>
      </c>
      <c r="C630" s="4"/>
      <c r="D630" s="5" t="s">
        <v>595</v>
      </c>
      <c r="E630" s="65" t="s">
        <v>30</v>
      </c>
      <c r="F630" s="34" t="s">
        <v>11</v>
      </c>
    </row>
    <row r="631" spans="1:6" ht="20.25">
      <c r="A631" s="48">
        <v>665</v>
      </c>
      <c r="B631" s="44" t="s">
        <v>624</v>
      </c>
      <c r="C631" s="4"/>
      <c r="D631" s="5" t="s">
        <v>595</v>
      </c>
      <c r="E631" s="65" t="s">
        <v>30</v>
      </c>
      <c r="F631" s="34" t="s">
        <v>11</v>
      </c>
    </row>
    <row r="632" spans="1:6" ht="20.25">
      <c r="A632" s="48">
        <v>666</v>
      </c>
      <c r="B632" s="44" t="s">
        <v>625</v>
      </c>
      <c r="C632" s="4"/>
      <c r="D632" s="5" t="s">
        <v>595</v>
      </c>
      <c r="E632" s="65" t="s">
        <v>30</v>
      </c>
      <c r="F632" s="34" t="s">
        <v>11</v>
      </c>
    </row>
    <row r="633" spans="1:6" ht="20.25">
      <c r="A633" s="48">
        <v>667</v>
      </c>
      <c r="B633" s="44" t="s">
        <v>626</v>
      </c>
      <c r="C633" s="4"/>
      <c r="D633" s="5" t="s">
        <v>595</v>
      </c>
      <c r="E633" s="65" t="s">
        <v>30</v>
      </c>
      <c r="F633" s="34" t="s">
        <v>11</v>
      </c>
    </row>
    <row r="634" spans="1:6" ht="20.25">
      <c r="A634" s="48">
        <v>668</v>
      </c>
      <c r="B634" s="44" t="s">
        <v>627</v>
      </c>
      <c r="C634" s="4"/>
      <c r="D634" s="5" t="s">
        <v>595</v>
      </c>
      <c r="E634" s="65" t="s">
        <v>30</v>
      </c>
      <c r="F634" s="34" t="s">
        <v>11</v>
      </c>
    </row>
    <row r="635" spans="1:6" ht="20.25">
      <c r="A635" s="48">
        <v>669</v>
      </c>
      <c r="B635" s="44" t="s">
        <v>628</v>
      </c>
      <c r="C635" s="4"/>
      <c r="D635" s="5" t="s">
        <v>595</v>
      </c>
      <c r="E635" s="65" t="s">
        <v>14</v>
      </c>
      <c r="F635" s="34" t="s">
        <v>11</v>
      </c>
    </row>
    <row r="636" spans="1:6" ht="20.25">
      <c r="A636" s="48">
        <v>670</v>
      </c>
      <c r="B636" s="44" t="s">
        <v>629</v>
      </c>
      <c r="C636" s="4"/>
      <c r="D636" s="5" t="s">
        <v>595</v>
      </c>
      <c r="E636" s="65" t="s">
        <v>14</v>
      </c>
      <c r="F636" s="34" t="s">
        <v>11</v>
      </c>
    </row>
    <row r="637" spans="1:6" ht="20.25">
      <c r="A637" s="48">
        <v>671</v>
      </c>
      <c r="B637" s="44" t="s">
        <v>630</v>
      </c>
      <c r="C637" s="4"/>
      <c r="D637" s="5" t="s">
        <v>595</v>
      </c>
      <c r="E637" s="65" t="s">
        <v>14</v>
      </c>
      <c r="F637" s="34" t="s">
        <v>11</v>
      </c>
    </row>
    <row r="638" spans="1:6" ht="20.25">
      <c r="A638" s="48">
        <v>672</v>
      </c>
      <c r="B638" s="44" t="s">
        <v>631</v>
      </c>
      <c r="C638" s="4"/>
      <c r="D638" s="5" t="s">
        <v>595</v>
      </c>
      <c r="E638" s="65" t="s">
        <v>14</v>
      </c>
      <c r="F638" s="34" t="s">
        <v>11</v>
      </c>
    </row>
    <row r="639" spans="1:6" ht="20.25">
      <c r="A639" s="48">
        <v>673</v>
      </c>
      <c r="B639" s="44" t="s">
        <v>632</v>
      </c>
      <c r="C639" s="4"/>
      <c r="D639" s="5" t="s">
        <v>595</v>
      </c>
      <c r="E639" s="65" t="s">
        <v>14</v>
      </c>
      <c r="F639" s="34" t="s">
        <v>11</v>
      </c>
    </row>
    <row r="640" spans="1:6" ht="20.25">
      <c r="A640" s="48">
        <v>674</v>
      </c>
      <c r="B640" s="44" t="s">
        <v>633</v>
      </c>
      <c r="C640" s="4"/>
      <c r="D640" s="5" t="s">
        <v>595</v>
      </c>
      <c r="E640" s="65" t="s">
        <v>14</v>
      </c>
      <c r="F640" s="34" t="s">
        <v>11</v>
      </c>
    </row>
    <row r="641" spans="1:6" ht="20.25">
      <c r="A641" s="48">
        <v>675</v>
      </c>
      <c r="B641" s="44" t="s">
        <v>634</v>
      </c>
      <c r="C641" s="4"/>
      <c r="D641" s="5" t="s">
        <v>595</v>
      </c>
      <c r="E641" s="65" t="s">
        <v>14</v>
      </c>
      <c r="F641" s="34" t="s">
        <v>11</v>
      </c>
    </row>
    <row r="642" spans="1:6" ht="20.25">
      <c r="A642" s="48">
        <v>676</v>
      </c>
      <c r="B642" s="44" t="s">
        <v>635</v>
      </c>
      <c r="C642" s="4"/>
      <c r="D642" s="5" t="s">
        <v>595</v>
      </c>
      <c r="E642" s="65" t="s">
        <v>14</v>
      </c>
      <c r="F642" s="34" t="s">
        <v>11</v>
      </c>
    </row>
    <row r="643" spans="1:6" ht="20.25">
      <c r="A643" s="48">
        <v>677</v>
      </c>
      <c r="B643" s="44" t="s">
        <v>636</v>
      </c>
      <c r="C643" s="4"/>
      <c r="D643" s="5" t="s">
        <v>595</v>
      </c>
      <c r="E643" s="65" t="s">
        <v>14</v>
      </c>
      <c r="F643" s="34" t="s">
        <v>11</v>
      </c>
    </row>
    <row r="644" spans="1:6" ht="20.25">
      <c r="A644" s="48">
        <v>678</v>
      </c>
      <c r="B644" s="44" t="s">
        <v>637</v>
      </c>
      <c r="C644" s="4"/>
      <c r="D644" s="5" t="s">
        <v>595</v>
      </c>
      <c r="E644" s="65" t="s">
        <v>14</v>
      </c>
      <c r="F644" s="34" t="s">
        <v>11</v>
      </c>
    </row>
    <row r="645" spans="1:6" ht="20.25">
      <c r="A645" s="48">
        <v>679</v>
      </c>
      <c r="B645" s="44" t="s">
        <v>638</v>
      </c>
      <c r="C645" s="4"/>
      <c r="D645" s="5" t="s">
        <v>595</v>
      </c>
      <c r="E645" s="65" t="s">
        <v>14</v>
      </c>
      <c r="F645" s="34" t="s">
        <v>11</v>
      </c>
    </row>
    <row r="646" spans="1:6" ht="20.25">
      <c r="A646" s="48">
        <v>680</v>
      </c>
      <c r="B646" s="44" t="s">
        <v>639</v>
      </c>
      <c r="C646" s="4"/>
      <c r="D646" s="5" t="s">
        <v>595</v>
      </c>
      <c r="E646" s="65" t="s">
        <v>14</v>
      </c>
      <c r="F646" s="34" t="s">
        <v>11</v>
      </c>
    </row>
    <row r="647" spans="1:6" ht="20.25">
      <c r="A647" s="48">
        <v>681</v>
      </c>
      <c r="B647" s="44" t="s">
        <v>640</v>
      </c>
      <c r="C647" s="4"/>
      <c r="D647" s="5" t="s">
        <v>595</v>
      </c>
      <c r="E647" s="65" t="s">
        <v>14</v>
      </c>
      <c r="F647" s="34" t="s">
        <v>11</v>
      </c>
    </row>
    <row r="648" spans="1:6" ht="20.25">
      <c r="A648" s="48">
        <v>682</v>
      </c>
      <c r="B648" s="44" t="s">
        <v>641</v>
      </c>
      <c r="C648" s="4"/>
      <c r="D648" s="5" t="s">
        <v>595</v>
      </c>
      <c r="E648" s="65" t="s">
        <v>14</v>
      </c>
      <c r="F648" s="34" t="s">
        <v>11</v>
      </c>
    </row>
    <row r="649" spans="1:6" ht="20.25">
      <c r="A649" s="48">
        <v>683</v>
      </c>
      <c r="B649" s="44" t="s">
        <v>642</v>
      </c>
      <c r="C649" s="4"/>
      <c r="D649" s="5" t="s">
        <v>595</v>
      </c>
      <c r="E649" s="65" t="s">
        <v>14</v>
      </c>
      <c r="F649" s="34" t="s">
        <v>11</v>
      </c>
    </row>
    <row r="650" spans="1:6" ht="20.25">
      <c r="A650" s="48">
        <v>684</v>
      </c>
      <c r="B650" s="44" t="s">
        <v>643</v>
      </c>
      <c r="C650" s="4"/>
      <c r="D650" s="5" t="s">
        <v>595</v>
      </c>
      <c r="E650" s="65" t="s">
        <v>14</v>
      </c>
      <c r="F650" s="34" t="s">
        <v>11</v>
      </c>
    </row>
    <row r="651" spans="1:6" ht="20.25">
      <c r="A651" s="48">
        <v>685</v>
      </c>
      <c r="B651" s="44" t="s">
        <v>644</v>
      </c>
      <c r="C651" s="4"/>
      <c r="D651" s="5" t="s">
        <v>595</v>
      </c>
      <c r="E651" s="65" t="s">
        <v>14</v>
      </c>
      <c r="F651" s="34" t="s">
        <v>11</v>
      </c>
    </row>
    <row r="652" spans="1:6" ht="20.25">
      <c r="A652" s="48">
        <v>686</v>
      </c>
      <c r="B652" s="44" t="s">
        <v>645</v>
      </c>
      <c r="C652" s="4"/>
      <c r="D652" s="5" t="s">
        <v>595</v>
      </c>
      <c r="E652" s="65" t="s">
        <v>14</v>
      </c>
      <c r="F652" s="34" t="s">
        <v>11</v>
      </c>
    </row>
    <row r="653" spans="1:6" ht="20.25">
      <c r="A653" s="48">
        <v>687</v>
      </c>
      <c r="B653" s="44" t="s">
        <v>646</v>
      </c>
      <c r="C653" s="4"/>
      <c r="D653" s="5" t="s">
        <v>595</v>
      </c>
      <c r="E653" s="65" t="s">
        <v>14</v>
      </c>
      <c r="F653" s="34" t="s">
        <v>11</v>
      </c>
    </row>
    <row r="654" spans="1:6" ht="20.25">
      <c r="A654" s="48">
        <v>688</v>
      </c>
      <c r="B654" s="44" t="s">
        <v>647</v>
      </c>
      <c r="C654" s="4"/>
      <c r="D654" s="5" t="s">
        <v>595</v>
      </c>
      <c r="E654" s="65" t="s">
        <v>14</v>
      </c>
      <c r="F654" s="34" t="s">
        <v>11</v>
      </c>
    </row>
    <row r="655" spans="1:6" ht="20.25">
      <c r="A655" s="48">
        <v>689</v>
      </c>
      <c r="B655" s="44" t="s">
        <v>648</v>
      </c>
      <c r="C655" s="4"/>
      <c r="D655" s="5" t="s">
        <v>595</v>
      </c>
      <c r="E655" s="65" t="s">
        <v>14</v>
      </c>
      <c r="F655" s="34" t="s">
        <v>11</v>
      </c>
    </row>
    <row r="656" spans="1:6" ht="20.25">
      <c r="A656" s="48">
        <v>690</v>
      </c>
      <c r="B656" s="44" t="s">
        <v>649</v>
      </c>
      <c r="C656" s="4"/>
      <c r="D656" s="5" t="s">
        <v>595</v>
      </c>
      <c r="E656" s="65" t="s">
        <v>14</v>
      </c>
      <c r="F656" s="34" t="s">
        <v>11</v>
      </c>
    </row>
    <row r="657" spans="1:6" ht="20.25">
      <c r="A657" s="48">
        <v>691</v>
      </c>
      <c r="B657" s="44" t="s">
        <v>650</v>
      </c>
      <c r="C657" s="4"/>
      <c r="D657" s="5" t="s">
        <v>595</v>
      </c>
      <c r="E657" s="65" t="s">
        <v>14</v>
      </c>
      <c r="F657" s="34" t="s">
        <v>11</v>
      </c>
    </row>
    <row r="658" spans="1:6" ht="20.25">
      <c r="A658" s="48">
        <v>692</v>
      </c>
      <c r="B658" s="44" t="s">
        <v>651</v>
      </c>
      <c r="C658" s="4"/>
      <c r="D658" s="5" t="s">
        <v>595</v>
      </c>
      <c r="E658" s="65" t="s">
        <v>14</v>
      </c>
      <c r="F658" s="34" t="s">
        <v>11</v>
      </c>
    </row>
    <row r="659" spans="1:6" ht="20.25">
      <c r="A659" s="48">
        <v>693</v>
      </c>
      <c r="B659" s="44" t="s">
        <v>652</v>
      </c>
      <c r="C659" s="4"/>
      <c r="D659" s="5" t="s">
        <v>595</v>
      </c>
      <c r="E659" s="65" t="s">
        <v>14</v>
      </c>
      <c r="F659" s="34" t="s">
        <v>11</v>
      </c>
    </row>
    <row r="660" spans="1:6" ht="20.25">
      <c r="A660" s="48">
        <v>694</v>
      </c>
      <c r="B660" s="44" t="s">
        <v>653</v>
      </c>
      <c r="C660" s="4"/>
      <c r="D660" s="5" t="s">
        <v>595</v>
      </c>
      <c r="E660" s="65" t="s">
        <v>14</v>
      </c>
      <c r="F660" s="34" t="s">
        <v>11</v>
      </c>
    </row>
    <row r="661" spans="1:6" ht="20.25">
      <c r="A661" s="48">
        <v>695</v>
      </c>
      <c r="B661" s="44" t="s">
        <v>654</v>
      </c>
      <c r="C661" s="4"/>
      <c r="D661" s="5" t="s">
        <v>595</v>
      </c>
      <c r="E661" s="65" t="s">
        <v>14</v>
      </c>
      <c r="F661" s="34" t="s">
        <v>11</v>
      </c>
    </row>
    <row r="662" spans="1:6" ht="20.25">
      <c r="A662" s="48">
        <v>696</v>
      </c>
      <c r="B662" s="44" t="s">
        <v>655</v>
      </c>
      <c r="C662" s="4"/>
      <c r="D662" s="5" t="s">
        <v>595</v>
      </c>
      <c r="E662" s="65" t="s">
        <v>14</v>
      </c>
      <c r="F662" s="34" t="s">
        <v>11</v>
      </c>
    </row>
    <row r="663" spans="1:6" ht="20.25">
      <c r="A663" s="48">
        <v>697</v>
      </c>
      <c r="B663" s="44" t="s">
        <v>656</v>
      </c>
      <c r="C663" s="4"/>
      <c r="D663" s="5" t="s">
        <v>595</v>
      </c>
      <c r="E663" s="65" t="s">
        <v>14</v>
      </c>
      <c r="F663" s="34" t="s">
        <v>11</v>
      </c>
    </row>
    <row r="664" spans="1:6" ht="20.25">
      <c r="A664" s="48">
        <v>698</v>
      </c>
      <c r="B664" s="44" t="s">
        <v>657</v>
      </c>
      <c r="C664" s="4"/>
      <c r="D664" s="5" t="s">
        <v>595</v>
      </c>
      <c r="E664" s="65" t="s">
        <v>14</v>
      </c>
      <c r="F664" s="34" t="s">
        <v>11</v>
      </c>
    </row>
    <row r="665" spans="1:6" ht="20.25">
      <c r="A665" s="48">
        <v>699</v>
      </c>
      <c r="B665" s="44" t="s">
        <v>658</v>
      </c>
      <c r="C665" s="4" t="s">
        <v>85</v>
      </c>
      <c r="D665" s="5" t="s">
        <v>659</v>
      </c>
      <c r="E665" s="65" t="s">
        <v>660</v>
      </c>
      <c r="F665" s="34" t="s">
        <v>11</v>
      </c>
    </row>
    <row r="666" spans="1:6" ht="20.25">
      <c r="A666" s="48">
        <v>700</v>
      </c>
      <c r="B666" s="44" t="s">
        <v>661</v>
      </c>
      <c r="C666" s="4" t="s">
        <v>85</v>
      </c>
      <c r="D666" s="5" t="s">
        <v>659</v>
      </c>
      <c r="E666" s="65" t="s">
        <v>660</v>
      </c>
      <c r="F666" s="34" t="s">
        <v>11</v>
      </c>
    </row>
    <row r="667" spans="1:6" ht="20.25">
      <c r="A667" s="48">
        <v>701</v>
      </c>
      <c r="B667" s="44" t="s">
        <v>662</v>
      </c>
      <c r="C667" s="4" t="s">
        <v>85</v>
      </c>
      <c r="D667" s="5" t="s">
        <v>659</v>
      </c>
      <c r="E667" s="65" t="s">
        <v>17</v>
      </c>
      <c r="F667" s="34" t="s">
        <v>11</v>
      </c>
    </row>
    <row r="668" spans="1:6" ht="20.25">
      <c r="A668" s="48">
        <v>702</v>
      </c>
      <c r="B668" s="44" t="s">
        <v>663</v>
      </c>
      <c r="C668" s="4" t="s">
        <v>85</v>
      </c>
      <c r="D668" s="5" t="s">
        <v>659</v>
      </c>
      <c r="E668" s="65" t="s">
        <v>14</v>
      </c>
      <c r="F668" s="34" t="s">
        <v>11</v>
      </c>
    </row>
    <row r="669" spans="1:6" ht="20.25">
      <c r="A669" s="48">
        <v>703</v>
      </c>
      <c r="B669" s="44" t="s">
        <v>664</v>
      </c>
      <c r="C669" s="4" t="s">
        <v>85</v>
      </c>
      <c r="D669" s="5" t="s">
        <v>659</v>
      </c>
      <c r="E669" s="65" t="s">
        <v>30</v>
      </c>
      <c r="F669" s="34" t="s">
        <v>11</v>
      </c>
    </row>
    <row r="670" spans="1:6" ht="20.25">
      <c r="A670" s="48">
        <v>704</v>
      </c>
      <c r="B670" s="44" t="s">
        <v>665</v>
      </c>
      <c r="C670" s="4" t="s">
        <v>85</v>
      </c>
      <c r="D670" s="5" t="s">
        <v>659</v>
      </c>
      <c r="E670" s="65" t="s">
        <v>666</v>
      </c>
      <c r="F670" s="34" t="s">
        <v>11</v>
      </c>
    </row>
    <row r="671" spans="1:6" ht="20.25">
      <c r="A671" s="48">
        <v>705</v>
      </c>
      <c r="B671" s="44" t="s">
        <v>667</v>
      </c>
      <c r="C671" s="4" t="s">
        <v>85</v>
      </c>
      <c r="D671" s="5" t="s">
        <v>659</v>
      </c>
      <c r="E671" s="65" t="s">
        <v>10</v>
      </c>
      <c r="F671" s="34" t="s">
        <v>11</v>
      </c>
    </row>
    <row r="672" spans="1:6" ht="20.25">
      <c r="A672" s="48">
        <v>706</v>
      </c>
      <c r="B672" s="44" t="s">
        <v>668</v>
      </c>
      <c r="C672" s="4" t="s">
        <v>85</v>
      </c>
      <c r="D672" s="5" t="s">
        <v>659</v>
      </c>
      <c r="E672" s="65" t="s">
        <v>669</v>
      </c>
      <c r="F672" s="34" t="s">
        <v>11</v>
      </c>
    </row>
    <row r="673" spans="1:6" ht="20.25">
      <c r="A673" s="48">
        <v>707</v>
      </c>
      <c r="B673" s="44" t="s">
        <v>670</v>
      </c>
      <c r="C673" s="4" t="s">
        <v>85</v>
      </c>
      <c r="D673" s="5" t="s">
        <v>659</v>
      </c>
      <c r="E673" s="65" t="s">
        <v>666</v>
      </c>
      <c r="F673" s="34" t="s">
        <v>11</v>
      </c>
    </row>
    <row r="674" spans="1:6" ht="20.25">
      <c r="A674" s="48">
        <v>708</v>
      </c>
      <c r="B674" s="44" t="s">
        <v>671</v>
      </c>
      <c r="C674" s="4" t="s">
        <v>85</v>
      </c>
      <c r="D674" s="5" t="s">
        <v>659</v>
      </c>
      <c r="E674" s="65" t="s">
        <v>666</v>
      </c>
      <c r="F674" s="34" t="s">
        <v>11</v>
      </c>
    </row>
    <row r="675" spans="1:6" ht="20.25">
      <c r="A675" s="48">
        <v>709</v>
      </c>
      <c r="B675" s="44" t="s">
        <v>672</v>
      </c>
      <c r="C675" s="4" t="s">
        <v>85</v>
      </c>
      <c r="D675" s="5" t="s">
        <v>659</v>
      </c>
      <c r="E675" s="65" t="s">
        <v>17</v>
      </c>
      <c r="F675" s="34" t="s">
        <v>11</v>
      </c>
    </row>
    <row r="676" spans="1:6" ht="20.25">
      <c r="A676" s="48">
        <v>710</v>
      </c>
      <c r="B676" s="44" t="s">
        <v>673</v>
      </c>
      <c r="C676" s="4" t="s">
        <v>85</v>
      </c>
      <c r="D676" s="5" t="s">
        <v>659</v>
      </c>
      <c r="E676" s="65" t="s">
        <v>10</v>
      </c>
      <c r="F676" s="34" t="s">
        <v>11</v>
      </c>
    </row>
    <row r="677" spans="1:6" ht="20.25">
      <c r="A677" s="48">
        <v>711</v>
      </c>
      <c r="B677" s="44" t="s">
        <v>674</v>
      </c>
      <c r="C677" s="4" t="s">
        <v>85</v>
      </c>
      <c r="D677" s="5" t="s">
        <v>659</v>
      </c>
      <c r="E677" s="65" t="s">
        <v>144</v>
      </c>
      <c r="F677" s="34" t="s">
        <v>11</v>
      </c>
    </row>
    <row r="678" spans="1:6" ht="20.25">
      <c r="A678" s="48">
        <v>712</v>
      </c>
      <c r="B678" s="44" t="s">
        <v>675</v>
      </c>
      <c r="C678" s="4" t="s">
        <v>85</v>
      </c>
      <c r="D678" s="5" t="s">
        <v>659</v>
      </c>
      <c r="E678" s="65" t="s">
        <v>144</v>
      </c>
      <c r="F678" s="34" t="s">
        <v>11</v>
      </c>
    </row>
    <row r="679" spans="1:6" ht="20.25">
      <c r="A679" s="48">
        <v>713</v>
      </c>
      <c r="B679" s="44" t="s">
        <v>676</v>
      </c>
      <c r="C679" s="4" t="s">
        <v>85</v>
      </c>
      <c r="D679" s="5" t="s">
        <v>659</v>
      </c>
      <c r="E679" s="65" t="s">
        <v>17</v>
      </c>
      <c r="F679" s="34" t="s">
        <v>11</v>
      </c>
    </row>
    <row r="680" spans="1:6" ht="20.25">
      <c r="A680" s="48">
        <v>714</v>
      </c>
      <c r="B680" s="44" t="s">
        <v>677</v>
      </c>
      <c r="C680" s="4" t="s">
        <v>85</v>
      </c>
      <c r="D680" s="5" t="s">
        <v>659</v>
      </c>
      <c r="E680" s="65" t="s">
        <v>144</v>
      </c>
      <c r="F680" s="34" t="s">
        <v>11</v>
      </c>
    </row>
    <row r="681" spans="1:6" ht="20.25">
      <c r="A681" s="48">
        <v>715</v>
      </c>
      <c r="B681" s="44" t="s">
        <v>678</v>
      </c>
      <c r="C681" s="4" t="s">
        <v>85</v>
      </c>
      <c r="D681" s="5" t="s">
        <v>659</v>
      </c>
      <c r="E681" s="65" t="s">
        <v>144</v>
      </c>
      <c r="F681" s="34" t="s">
        <v>11</v>
      </c>
    </row>
    <row r="682" spans="1:6" ht="20.25">
      <c r="A682" s="48">
        <v>716</v>
      </c>
      <c r="B682" s="44" t="s">
        <v>679</v>
      </c>
      <c r="C682" s="4" t="s">
        <v>85</v>
      </c>
      <c r="D682" s="5" t="s">
        <v>659</v>
      </c>
      <c r="E682" s="65" t="s">
        <v>14</v>
      </c>
      <c r="F682" s="34" t="s">
        <v>11</v>
      </c>
    </row>
    <row r="683" spans="1:6" ht="20.25">
      <c r="A683" s="48">
        <v>717</v>
      </c>
      <c r="B683" s="44" t="s">
        <v>680</v>
      </c>
      <c r="C683" s="4" t="s">
        <v>119</v>
      </c>
      <c r="D683" s="5" t="s">
        <v>659</v>
      </c>
      <c r="E683" s="65" t="s">
        <v>17</v>
      </c>
      <c r="F683" s="34" t="s">
        <v>11</v>
      </c>
    </row>
    <row r="684" spans="1:6" ht="20.25">
      <c r="A684" s="48">
        <v>718</v>
      </c>
      <c r="B684" s="44" t="s">
        <v>681</v>
      </c>
      <c r="C684" s="4" t="s">
        <v>119</v>
      </c>
      <c r="D684" s="5" t="s">
        <v>659</v>
      </c>
      <c r="E684" s="65" t="s">
        <v>573</v>
      </c>
      <c r="F684" s="34" t="s">
        <v>11</v>
      </c>
    </row>
    <row r="685" spans="1:6" ht="20.25">
      <c r="A685" s="48">
        <v>719</v>
      </c>
      <c r="B685" s="44" t="s">
        <v>682</v>
      </c>
      <c r="C685" s="4" t="s">
        <v>119</v>
      </c>
      <c r="D685" s="5" t="s">
        <v>659</v>
      </c>
      <c r="E685" s="65" t="s">
        <v>17</v>
      </c>
      <c r="F685" s="34" t="s">
        <v>11</v>
      </c>
    </row>
    <row r="686" spans="1:6" ht="20.25">
      <c r="A686" s="48">
        <v>720</v>
      </c>
      <c r="B686" s="44" t="s">
        <v>683</v>
      </c>
      <c r="C686" s="4" t="s">
        <v>119</v>
      </c>
      <c r="D686" s="5" t="s">
        <v>659</v>
      </c>
      <c r="E686" s="65" t="s">
        <v>144</v>
      </c>
      <c r="F686" s="34" t="s">
        <v>11</v>
      </c>
    </row>
    <row r="687" spans="1:6" ht="20.25">
      <c r="A687" s="48">
        <v>721</v>
      </c>
      <c r="B687" s="44" t="s">
        <v>684</v>
      </c>
      <c r="C687" s="4" t="s">
        <v>119</v>
      </c>
      <c r="D687" s="5" t="s">
        <v>659</v>
      </c>
      <c r="E687" s="65" t="s">
        <v>17</v>
      </c>
      <c r="F687" s="34" t="s">
        <v>11</v>
      </c>
    </row>
    <row r="688" spans="1:6" ht="20.25">
      <c r="A688" s="48">
        <v>722</v>
      </c>
      <c r="B688" s="44" t="s">
        <v>685</v>
      </c>
      <c r="C688" s="4" t="s">
        <v>119</v>
      </c>
      <c r="D688" s="5" t="s">
        <v>659</v>
      </c>
      <c r="E688" s="65" t="s">
        <v>17</v>
      </c>
      <c r="F688" s="34" t="s">
        <v>11</v>
      </c>
    </row>
    <row r="689" spans="1:6" ht="20.25">
      <c r="A689" s="48">
        <v>723</v>
      </c>
      <c r="B689" s="44" t="s">
        <v>686</v>
      </c>
      <c r="C689" s="4" t="s">
        <v>119</v>
      </c>
      <c r="D689" s="5" t="s">
        <v>659</v>
      </c>
      <c r="E689" s="65" t="s">
        <v>687</v>
      </c>
      <c r="F689" s="34" t="s">
        <v>11</v>
      </c>
    </row>
    <row r="690" spans="1:6" ht="20.25">
      <c r="A690" s="48">
        <v>724</v>
      </c>
      <c r="B690" s="44" t="s">
        <v>688</v>
      </c>
      <c r="C690" s="4" t="s">
        <v>119</v>
      </c>
      <c r="D690" s="5" t="s">
        <v>659</v>
      </c>
      <c r="E690" s="65" t="s">
        <v>14</v>
      </c>
      <c r="F690" s="34" t="s">
        <v>11</v>
      </c>
    </row>
    <row r="691" spans="1:6" ht="20.25">
      <c r="A691" s="48">
        <v>725</v>
      </c>
      <c r="B691" s="44" t="s">
        <v>689</v>
      </c>
      <c r="C691" s="4" t="s">
        <v>119</v>
      </c>
      <c r="D691" s="5" t="s">
        <v>659</v>
      </c>
      <c r="E691" s="65" t="s">
        <v>14</v>
      </c>
      <c r="F691" s="34" t="s">
        <v>11</v>
      </c>
    </row>
    <row r="692" spans="1:6" ht="20.25">
      <c r="A692" s="48">
        <v>726</v>
      </c>
      <c r="B692" s="44" t="s">
        <v>690</v>
      </c>
      <c r="C692" s="4" t="s">
        <v>119</v>
      </c>
      <c r="D692" s="5" t="s">
        <v>659</v>
      </c>
      <c r="E692" s="65" t="s">
        <v>14</v>
      </c>
      <c r="F692" s="34" t="s">
        <v>11</v>
      </c>
    </row>
    <row r="693" spans="1:6" ht="20.25">
      <c r="A693" s="48">
        <v>727</v>
      </c>
      <c r="B693" s="44" t="s">
        <v>691</v>
      </c>
      <c r="C693" s="4" t="s">
        <v>119</v>
      </c>
      <c r="D693" s="5" t="s">
        <v>659</v>
      </c>
      <c r="E693" s="65" t="s">
        <v>14</v>
      </c>
      <c r="F693" s="34" t="s">
        <v>11</v>
      </c>
    </row>
    <row r="694" spans="1:6" ht="20.25">
      <c r="A694" s="48">
        <v>728</v>
      </c>
      <c r="B694" s="44" t="s">
        <v>692</v>
      </c>
      <c r="C694" s="4" t="s">
        <v>119</v>
      </c>
      <c r="D694" s="5" t="s">
        <v>659</v>
      </c>
      <c r="E694" s="65" t="s">
        <v>14</v>
      </c>
      <c r="F694" s="34" t="s">
        <v>11</v>
      </c>
    </row>
    <row r="695" spans="1:6" ht="20.25">
      <c r="A695" s="48">
        <v>729</v>
      </c>
      <c r="B695" s="44" t="s">
        <v>693</v>
      </c>
      <c r="C695" s="4" t="s">
        <v>119</v>
      </c>
      <c r="D695" s="5" t="s">
        <v>659</v>
      </c>
      <c r="E695" s="65" t="s">
        <v>14</v>
      </c>
      <c r="F695" s="34" t="s">
        <v>11</v>
      </c>
    </row>
    <row r="696" spans="1:6" ht="20.25">
      <c r="A696" s="48">
        <v>730</v>
      </c>
      <c r="B696" s="44" t="s">
        <v>694</v>
      </c>
      <c r="C696" s="4" t="s">
        <v>119</v>
      </c>
      <c r="D696" s="5" t="s">
        <v>659</v>
      </c>
      <c r="E696" s="65" t="s">
        <v>14</v>
      </c>
      <c r="F696" s="34" t="s">
        <v>11</v>
      </c>
    </row>
    <row r="697" spans="1:6" ht="20.25">
      <c r="A697" s="48">
        <v>731</v>
      </c>
      <c r="B697" s="44" t="s">
        <v>695</v>
      </c>
      <c r="C697" s="4" t="s">
        <v>119</v>
      </c>
      <c r="D697" s="5" t="s">
        <v>659</v>
      </c>
      <c r="E697" s="65" t="s">
        <v>17</v>
      </c>
      <c r="F697" s="34" t="s">
        <v>11</v>
      </c>
    </row>
    <row r="698" spans="1:6" ht="20.25">
      <c r="A698" s="48">
        <v>732</v>
      </c>
      <c r="B698" s="44" t="s">
        <v>696</v>
      </c>
      <c r="C698" s="4" t="s">
        <v>119</v>
      </c>
      <c r="D698" s="5" t="s">
        <v>659</v>
      </c>
      <c r="E698" s="65" t="s">
        <v>17</v>
      </c>
      <c r="F698" s="34" t="s">
        <v>11</v>
      </c>
    </row>
    <row r="699" spans="1:6" ht="20.25">
      <c r="A699" s="48">
        <v>733</v>
      </c>
      <c r="B699" s="44" t="s">
        <v>697</v>
      </c>
      <c r="C699" s="4" t="s">
        <v>119</v>
      </c>
      <c r="D699" s="5" t="s">
        <v>659</v>
      </c>
      <c r="E699" s="65" t="s">
        <v>14</v>
      </c>
      <c r="F699" s="34" t="s">
        <v>11</v>
      </c>
    </row>
    <row r="700" spans="1:6" ht="20.25">
      <c r="A700" s="48">
        <v>734</v>
      </c>
      <c r="B700" s="44" t="s">
        <v>698</v>
      </c>
      <c r="C700" s="4" t="s">
        <v>119</v>
      </c>
      <c r="D700" s="5" t="s">
        <v>659</v>
      </c>
      <c r="E700" s="65" t="s">
        <v>14</v>
      </c>
      <c r="F700" s="34" t="s">
        <v>11</v>
      </c>
    </row>
    <row r="701" spans="1:6" ht="20.25">
      <c r="A701" s="48">
        <v>735</v>
      </c>
      <c r="B701" s="44" t="s">
        <v>699</v>
      </c>
      <c r="C701" s="4" t="s">
        <v>119</v>
      </c>
      <c r="D701" s="5" t="s">
        <v>659</v>
      </c>
      <c r="E701" s="65" t="s">
        <v>10</v>
      </c>
      <c r="F701" s="34" t="s">
        <v>11</v>
      </c>
    </row>
    <row r="702" spans="1:6" ht="20.25">
      <c r="A702" s="48">
        <v>736</v>
      </c>
      <c r="B702" s="44" t="s">
        <v>700</v>
      </c>
      <c r="C702" s="4" t="s">
        <v>119</v>
      </c>
      <c r="D702" s="5" t="s">
        <v>659</v>
      </c>
      <c r="E702" s="65" t="s">
        <v>14</v>
      </c>
      <c r="F702" s="34" t="s">
        <v>11</v>
      </c>
    </row>
    <row r="703" spans="1:6" ht="20.25">
      <c r="A703" s="48">
        <v>737</v>
      </c>
      <c r="B703" s="44" t="s">
        <v>701</v>
      </c>
      <c r="C703" s="4" t="s">
        <v>119</v>
      </c>
      <c r="D703" s="5" t="s">
        <v>659</v>
      </c>
      <c r="E703" s="65" t="s">
        <v>14</v>
      </c>
      <c r="F703" s="34" t="s">
        <v>11</v>
      </c>
    </row>
    <row r="704" spans="1:6" ht="20.25">
      <c r="A704" s="48">
        <v>738</v>
      </c>
      <c r="B704" s="44" t="s">
        <v>702</v>
      </c>
      <c r="C704" s="4" t="s">
        <v>119</v>
      </c>
      <c r="D704" s="5" t="s">
        <v>659</v>
      </c>
      <c r="E704" s="65" t="s">
        <v>573</v>
      </c>
      <c r="F704" s="34" t="s">
        <v>11</v>
      </c>
    </row>
    <row r="705" spans="1:6" ht="20.25">
      <c r="A705" s="48">
        <v>739</v>
      </c>
      <c r="B705" s="44" t="s">
        <v>703</v>
      </c>
      <c r="C705" s="4" t="s">
        <v>119</v>
      </c>
      <c r="D705" s="5" t="s">
        <v>659</v>
      </c>
      <c r="E705" s="65" t="s">
        <v>14</v>
      </c>
      <c r="F705" s="34" t="s">
        <v>11</v>
      </c>
    </row>
    <row r="706" spans="1:6" ht="20.25">
      <c r="A706" s="48">
        <v>740</v>
      </c>
      <c r="B706" s="44" t="s">
        <v>704</v>
      </c>
      <c r="C706" s="4" t="s">
        <v>119</v>
      </c>
      <c r="D706" s="5" t="s">
        <v>659</v>
      </c>
      <c r="E706" s="65" t="s">
        <v>17</v>
      </c>
      <c r="F706" s="34" t="s">
        <v>11</v>
      </c>
    </row>
    <row r="707" spans="1:6" ht="20.25">
      <c r="A707" s="48">
        <v>741</v>
      </c>
      <c r="B707" s="44" t="s">
        <v>705</v>
      </c>
      <c r="C707" s="4" t="s">
        <v>119</v>
      </c>
      <c r="D707" s="5" t="s">
        <v>659</v>
      </c>
      <c r="E707" s="65" t="s">
        <v>14</v>
      </c>
      <c r="F707" s="34" t="s">
        <v>11</v>
      </c>
    </row>
    <row r="708" spans="1:6" ht="20.25">
      <c r="A708" s="48">
        <v>742</v>
      </c>
      <c r="B708" s="44" t="s">
        <v>706</v>
      </c>
      <c r="C708" s="4" t="s">
        <v>119</v>
      </c>
      <c r="D708" s="5" t="s">
        <v>659</v>
      </c>
      <c r="E708" s="65" t="s">
        <v>14</v>
      </c>
      <c r="F708" s="34" t="s">
        <v>11</v>
      </c>
    </row>
    <row r="709" spans="1:6" ht="20.25">
      <c r="A709" s="48">
        <v>743</v>
      </c>
      <c r="B709" s="44" t="s">
        <v>707</v>
      </c>
      <c r="C709" s="4" t="s">
        <v>119</v>
      </c>
      <c r="D709" s="5" t="s">
        <v>659</v>
      </c>
      <c r="E709" s="65" t="s">
        <v>14</v>
      </c>
      <c r="F709" s="34" t="s">
        <v>11</v>
      </c>
    </row>
    <row r="710" spans="1:6" ht="20.25">
      <c r="A710" s="48">
        <v>744</v>
      </c>
      <c r="B710" s="44" t="s">
        <v>708</v>
      </c>
      <c r="C710" s="4" t="s">
        <v>119</v>
      </c>
      <c r="D710" s="5" t="s">
        <v>659</v>
      </c>
      <c r="E710" s="65" t="s">
        <v>14</v>
      </c>
      <c r="F710" s="34" t="s">
        <v>11</v>
      </c>
    </row>
    <row r="711" spans="1:6" ht="20.25">
      <c r="A711" s="48">
        <v>745</v>
      </c>
      <c r="B711" s="44" t="s">
        <v>709</v>
      </c>
      <c r="C711" s="4" t="s">
        <v>119</v>
      </c>
      <c r="D711" s="5" t="s">
        <v>659</v>
      </c>
      <c r="E711" s="65" t="s">
        <v>14</v>
      </c>
      <c r="F711" s="34" t="s">
        <v>11</v>
      </c>
    </row>
    <row r="712" spans="1:6" ht="20.25">
      <c r="A712" s="48">
        <v>746</v>
      </c>
      <c r="B712" s="44" t="s">
        <v>710</v>
      </c>
      <c r="C712" s="4" t="s">
        <v>119</v>
      </c>
      <c r="D712" s="5" t="s">
        <v>659</v>
      </c>
      <c r="E712" s="65" t="s">
        <v>14</v>
      </c>
      <c r="F712" s="34" t="s">
        <v>11</v>
      </c>
    </row>
    <row r="713" spans="1:6" ht="20.25">
      <c r="A713" s="48">
        <v>747</v>
      </c>
      <c r="B713" s="44" t="s">
        <v>711</v>
      </c>
      <c r="C713" s="4" t="s">
        <v>157</v>
      </c>
      <c r="D713" s="5" t="s">
        <v>659</v>
      </c>
      <c r="E713" s="65" t="s">
        <v>712</v>
      </c>
      <c r="F713" s="34" t="s">
        <v>11</v>
      </c>
    </row>
    <row r="714" spans="1:6" ht="20.25">
      <c r="A714" s="48">
        <v>748</v>
      </c>
      <c r="B714" s="44" t="s">
        <v>713</v>
      </c>
      <c r="C714" s="4" t="s">
        <v>157</v>
      </c>
      <c r="D714" s="5" t="s">
        <v>659</v>
      </c>
      <c r="E714" s="65" t="s">
        <v>10</v>
      </c>
      <c r="F714" s="34" t="s">
        <v>11</v>
      </c>
    </row>
    <row r="715" spans="1:6" ht="20.25">
      <c r="A715" s="48">
        <v>749</v>
      </c>
      <c r="B715" s="44" t="s">
        <v>714</v>
      </c>
      <c r="C715" s="4" t="s">
        <v>157</v>
      </c>
      <c r="D715" s="5" t="s">
        <v>659</v>
      </c>
      <c r="E715" s="65" t="s">
        <v>687</v>
      </c>
      <c r="F715" s="34" t="s">
        <v>11</v>
      </c>
    </row>
    <row r="716" spans="1:6" ht="20.25">
      <c r="A716" s="48">
        <v>750</v>
      </c>
      <c r="B716" s="44" t="s">
        <v>715</v>
      </c>
      <c r="C716" s="4" t="s">
        <v>157</v>
      </c>
      <c r="D716" s="5" t="s">
        <v>659</v>
      </c>
      <c r="E716" s="65" t="s">
        <v>687</v>
      </c>
      <c r="F716" s="34" t="s">
        <v>11</v>
      </c>
    </row>
    <row r="717" spans="1:6" ht="20.25">
      <c r="A717" s="48">
        <v>751</v>
      </c>
      <c r="B717" s="44" t="s">
        <v>716</v>
      </c>
      <c r="C717" s="4" t="s">
        <v>157</v>
      </c>
      <c r="D717" s="5" t="s">
        <v>659</v>
      </c>
      <c r="E717" s="65" t="s">
        <v>687</v>
      </c>
      <c r="F717" s="34" t="s">
        <v>11</v>
      </c>
    </row>
    <row r="718" spans="1:6" ht="20.25">
      <c r="A718" s="48">
        <v>752</v>
      </c>
      <c r="B718" s="44" t="s">
        <v>717</v>
      </c>
      <c r="C718" s="4" t="s">
        <v>157</v>
      </c>
      <c r="D718" s="5" t="s">
        <v>659</v>
      </c>
      <c r="E718" s="65" t="s">
        <v>10</v>
      </c>
      <c r="F718" s="34" t="s">
        <v>11</v>
      </c>
    </row>
    <row r="719" spans="1:6" ht="20.25">
      <c r="A719" s="48">
        <v>753</v>
      </c>
      <c r="B719" s="44" t="s">
        <v>718</v>
      </c>
      <c r="C719" s="4" t="s">
        <v>157</v>
      </c>
      <c r="D719" s="5" t="s">
        <v>659</v>
      </c>
      <c r="E719" s="65" t="s">
        <v>14</v>
      </c>
      <c r="F719" s="34" t="s">
        <v>11</v>
      </c>
    </row>
    <row r="720" spans="1:6" ht="20.25">
      <c r="A720" s="48">
        <v>754</v>
      </c>
      <c r="B720" s="44" t="s">
        <v>719</v>
      </c>
      <c r="C720" s="4" t="s">
        <v>157</v>
      </c>
      <c r="D720" s="5" t="s">
        <v>659</v>
      </c>
      <c r="E720" s="65" t="s">
        <v>14</v>
      </c>
      <c r="F720" s="34" t="s">
        <v>11</v>
      </c>
    </row>
    <row r="721" spans="1:6" ht="20.25">
      <c r="A721" s="48">
        <v>755</v>
      </c>
      <c r="B721" s="44" t="s">
        <v>720</v>
      </c>
      <c r="C721" s="4" t="s">
        <v>157</v>
      </c>
      <c r="D721" s="5" t="s">
        <v>659</v>
      </c>
      <c r="E721" s="65" t="s">
        <v>14</v>
      </c>
      <c r="F721" s="34" t="s">
        <v>11</v>
      </c>
    </row>
    <row r="722" spans="1:6" ht="20.25">
      <c r="A722" s="48">
        <v>756</v>
      </c>
      <c r="B722" s="44" t="s">
        <v>721</v>
      </c>
      <c r="C722" s="4" t="s">
        <v>119</v>
      </c>
      <c r="D722" s="5" t="s">
        <v>21</v>
      </c>
      <c r="E722" s="65" t="s">
        <v>179</v>
      </c>
      <c r="F722" s="34" t="s">
        <v>11</v>
      </c>
    </row>
    <row r="723" spans="1:6" ht="20.25">
      <c r="A723" s="48">
        <v>757</v>
      </c>
      <c r="B723" s="59" t="s">
        <v>722</v>
      </c>
      <c r="C723" s="60" t="s">
        <v>119</v>
      </c>
      <c r="D723" s="5" t="s">
        <v>21</v>
      </c>
      <c r="E723" s="65" t="s">
        <v>179</v>
      </c>
      <c r="F723" s="34" t="s">
        <v>11</v>
      </c>
    </row>
    <row r="724" spans="1:6" ht="20.25">
      <c r="A724" s="48">
        <v>758</v>
      </c>
      <c r="B724" s="44" t="s">
        <v>723</v>
      </c>
      <c r="C724" s="4" t="s">
        <v>119</v>
      </c>
      <c r="D724" s="5" t="s">
        <v>21</v>
      </c>
      <c r="E724" s="65" t="s">
        <v>179</v>
      </c>
      <c r="F724" s="34" t="s">
        <v>11</v>
      </c>
    </row>
    <row r="725" spans="1:6" ht="20.25">
      <c r="A725" s="48">
        <v>759</v>
      </c>
      <c r="B725" s="44" t="s">
        <v>724</v>
      </c>
      <c r="C725" s="60" t="s">
        <v>119</v>
      </c>
      <c r="D725" s="5" t="s">
        <v>21</v>
      </c>
      <c r="E725" s="65" t="s">
        <v>179</v>
      </c>
      <c r="F725" s="34" t="s">
        <v>11</v>
      </c>
    </row>
    <row r="726" spans="1:6" ht="20.25">
      <c r="A726" s="48">
        <v>760</v>
      </c>
      <c r="B726" s="44" t="s">
        <v>725</v>
      </c>
      <c r="C726" s="4" t="s">
        <v>119</v>
      </c>
      <c r="D726" s="5" t="s">
        <v>21</v>
      </c>
      <c r="E726" s="65" t="s">
        <v>179</v>
      </c>
      <c r="F726" s="34" t="s">
        <v>11</v>
      </c>
    </row>
    <row r="727" spans="1:6" ht="20.25">
      <c r="A727" s="48">
        <v>761</v>
      </c>
      <c r="B727" s="44" t="s">
        <v>726</v>
      </c>
      <c r="C727" s="60" t="s">
        <v>119</v>
      </c>
      <c r="D727" s="5" t="s">
        <v>21</v>
      </c>
      <c r="E727" s="65" t="s">
        <v>179</v>
      </c>
      <c r="F727" s="34" t="s">
        <v>11</v>
      </c>
    </row>
    <row r="728" spans="1:6" ht="20.25">
      <c r="A728" s="48">
        <v>762</v>
      </c>
      <c r="B728" s="44" t="s">
        <v>727</v>
      </c>
      <c r="C728" s="4" t="s">
        <v>119</v>
      </c>
      <c r="D728" s="5" t="s">
        <v>21</v>
      </c>
      <c r="E728" s="65" t="s">
        <v>179</v>
      </c>
      <c r="F728" s="34" t="s">
        <v>11</v>
      </c>
    </row>
    <row r="729" spans="1:6" ht="20.25">
      <c r="A729" s="48">
        <v>763</v>
      </c>
      <c r="B729" s="44" t="s">
        <v>728</v>
      </c>
      <c r="C729" s="4" t="s">
        <v>157</v>
      </c>
      <c r="D729" s="5" t="s">
        <v>21</v>
      </c>
      <c r="E729" s="65" t="s">
        <v>179</v>
      </c>
      <c r="F729" s="34" t="s">
        <v>11</v>
      </c>
    </row>
    <row r="730" spans="1:6" ht="20.25">
      <c r="A730" s="48">
        <v>764</v>
      </c>
      <c r="B730" s="44" t="s">
        <v>729</v>
      </c>
      <c r="C730" s="4" t="s">
        <v>157</v>
      </c>
      <c r="D730" s="5" t="s">
        <v>21</v>
      </c>
      <c r="E730" s="65" t="s">
        <v>179</v>
      </c>
      <c r="F730" s="34" t="s">
        <v>11</v>
      </c>
    </row>
    <row r="731" spans="1:6" ht="20.25">
      <c r="A731" s="48">
        <v>765</v>
      </c>
      <c r="B731" s="44" t="s">
        <v>730</v>
      </c>
      <c r="C731" s="4" t="s">
        <v>157</v>
      </c>
      <c r="D731" s="5" t="s">
        <v>21</v>
      </c>
      <c r="E731" s="65" t="s">
        <v>179</v>
      </c>
      <c r="F731" s="34" t="s">
        <v>11</v>
      </c>
    </row>
    <row r="732" spans="1:6" ht="20.25">
      <c r="A732" s="48">
        <v>766</v>
      </c>
      <c r="B732" s="44" t="s">
        <v>726</v>
      </c>
      <c r="C732" s="4" t="s">
        <v>157</v>
      </c>
      <c r="D732" s="5" t="s">
        <v>21</v>
      </c>
      <c r="E732" s="65" t="s">
        <v>179</v>
      </c>
      <c r="F732" s="34" t="s">
        <v>11</v>
      </c>
    </row>
    <row r="733" spans="1:6" ht="20.25">
      <c r="A733" s="48">
        <v>767</v>
      </c>
      <c r="B733" s="44" t="s">
        <v>731</v>
      </c>
      <c r="C733" s="4" t="s">
        <v>8</v>
      </c>
      <c r="D733" s="5" t="s">
        <v>732</v>
      </c>
      <c r="E733" s="65" t="s">
        <v>22</v>
      </c>
      <c r="F733" s="34" t="s">
        <v>11</v>
      </c>
    </row>
    <row r="734" spans="1:6" ht="20.25">
      <c r="A734" s="48">
        <v>768</v>
      </c>
      <c r="B734" s="44" t="s">
        <v>731</v>
      </c>
      <c r="C734" s="4" t="s">
        <v>8</v>
      </c>
      <c r="D734" s="5" t="s">
        <v>732</v>
      </c>
      <c r="E734" s="65" t="s">
        <v>22</v>
      </c>
      <c r="F734" s="34" t="s">
        <v>11</v>
      </c>
    </row>
    <row r="735" spans="1:6" ht="20.25">
      <c r="A735" s="48">
        <v>769</v>
      </c>
      <c r="B735" s="44" t="s">
        <v>733</v>
      </c>
      <c r="C735" s="4" t="s">
        <v>8</v>
      </c>
      <c r="D735" s="5" t="s">
        <v>732</v>
      </c>
      <c r="E735" s="65" t="s">
        <v>573</v>
      </c>
      <c r="F735" s="34" t="s">
        <v>11</v>
      </c>
    </row>
    <row r="736" spans="1:6" ht="20.25">
      <c r="A736" s="48">
        <v>770</v>
      </c>
      <c r="B736" s="44" t="s">
        <v>734</v>
      </c>
      <c r="C736" s="4" t="s">
        <v>8</v>
      </c>
      <c r="D736" s="5" t="s">
        <v>732</v>
      </c>
      <c r="E736" s="65" t="s">
        <v>22</v>
      </c>
      <c r="F736" s="34" t="s">
        <v>11</v>
      </c>
    </row>
    <row r="737" spans="1:6" ht="20.25">
      <c r="A737" s="48">
        <v>771</v>
      </c>
      <c r="B737" s="44" t="s">
        <v>735</v>
      </c>
      <c r="C737" s="4" t="s">
        <v>8</v>
      </c>
      <c r="D737" s="5" t="s">
        <v>732</v>
      </c>
      <c r="E737" s="65" t="s">
        <v>14</v>
      </c>
      <c r="F737" s="34" t="s">
        <v>11</v>
      </c>
    </row>
    <row r="738" spans="1:6" ht="20.25">
      <c r="A738" s="48">
        <v>772</v>
      </c>
      <c r="B738" s="44" t="s">
        <v>734</v>
      </c>
      <c r="C738" s="4" t="s">
        <v>8</v>
      </c>
      <c r="D738" s="5" t="s">
        <v>732</v>
      </c>
      <c r="E738" s="65" t="s">
        <v>22</v>
      </c>
      <c r="F738" s="34" t="s">
        <v>11</v>
      </c>
    </row>
    <row r="739" spans="1:6" ht="20.25">
      <c r="A739" s="48">
        <v>773</v>
      </c>
      <c r="B739" s="44" t="s">
        <v>736</v>
      </c>
      <c r="C739" s="4" t="s">
        <v>8</v>
      </c>
      <c r="D739" s="5" t="s">
        <v>732</v>
      </c>
      <c r="E739" s="65" t="s">
        <v>14</v>
      </c>
      <c r="F739" s="34" t="s">
        <v>11</v>
      </c>
    </row>
    <row r="740" spans="1:6" ht="20.25">
      <c r="A740" s="48">
        <v>774</v>
      </c>
      <c r="B740" s="44" t="s">
        <v>737</v>
      </c>
      <c r="C740" s="4" t="s">
        <v>85</v>
      </c>
      <c r="D740" s="5" t="s">
        <v>732</v>
      </c>
      <c r="E740" s="65" t="s">
        <v>104</v>
      </c>
      <c r="F740" s="34" t="s">
        <v>15</v>
      </c>
    </row>
    <row r="741" spans="1:6" ht="20.25">
      <c r="A741" s="48">
        <v>775</v>
      </c>
      <c r="B741" s="44" t="s">
        <v>738</v>
      </c>
      <c r="C741" s="4" t="s">
        <v>85</v>
      </c>
      <c r="D741" s="5" t="s">
        <v>732</v>
      </c>
      <c r="E741" s="65" t="s">
        <v>14</v>
      </c>
      <c r="F741" s="34" t="s">
        <v>11</v>
      </c>
    </row>
    <row r="742" spans="1:6" ht="20.25">
      <c r="A742" s="48">
        <v>776</v>
      </c>
      <c r="B742" s="44" t="s">
        <v>739</v>
      </c>
      <c r="C742" s="4" t="s">
        <v>85</v>
      </c>
      <c r="D742" s="5" t="s">
        <v>732</v>
      </c>
      <c r="E742" s="65" t="s">
        <v>104</v>
      </c>
      <c r="F742" s="34" t="s">
        <v>15</v>
      </c>
    </row>
    <row r="743" spans="1:6" ht="20.25">
      <c r="A743" s="48">
        <v>777</v>
      </c>
      <c r="B743" s="44" t="s">
        <v>740</v>
      </c>
      <c r="C743" s="4" t="s">
        <v>85</v>
      </c>
      <c r="D743" s="5" t="s">
        <v>732</v>
      </c>
      <c r="E743" s="65" t="s">
        <v>573</v>
      </c>
      <c r="F743" s="34" t="s">
        <v>11</v>
      </c>
    </row>
    <row r="744" spans="1:6" ht="20.25">
      <c r="A744" s="48">
        <v>778</v>
      </c>
      <c r="B744" s="44" t="s">
        <v>741</v>
      </c>
      <c r="C744" s="4" t="s">
        <v>85</v>
      </c>
      <c r="D744" s="5" t="s">
        <v>732</v>
      </c>
      <c r="E744" s="65" t="s">
        <v>14</v>
      </c>
      <c r="F744" s="34" t="s">
        <v>11</v>
      </c>
    </row>
    <row r="745" spans="1:6" ht="20.25">
      <c r="A745" s="48">
        <v>779</v>
      </c>
      <c r="B745" s="44" t="s">
        <v>742</v>
      </c>
      <c r="C745" s="4" t="s">
        <v>85</v>
      </c>
      <c r="D745" s="5" t="s">
        <v>732</v>
      </c>
      <c r="E745" s="65" t="s">
        <v>573</v>
      </c>
      <c r="F745" s="34" t="s">
        <v>11</v>
      </c>
    </row>
    <row r="746" spans="1:6" ht="20.25">
      <c r="A746" s="48">
        <v>780</v>
      </c>
      <c r="B746" s="44" t="s">
        <v>738</v>
      </c>
      <c r="C746" s="4" t="s">
        <v>85</v>
      </c>
      <c r="D746" s="5" t="s">
        <v>732</v>
      </c>
      <c r="E746" s="65" t="s">
        <v>14</v>
      </c>
      <c r="F746" s="34" t="s">
        <v>11</v>
      </c>
    </row>
    <row r="747" spans="1:6" ht="20.25">
      <c r="A747" s="48">
        <v>781</v>
      </c>
      <c r="B747" s="44" t="s">
        <v>743</v>
      </c>
      <c r="C747" s="4" t="s">
        <v>85</v>
      </c>
      <c r="D747" s="5" t="s">
        <v>732</v>
      </c>
      <c r="E747" s="65" t="s">
        <v>104</v>
      </c>
      <c r="F747" s="34" t="s">
        <v>11</v>
      </c>
    </row>
    <row r="748" spans="1:6" ht="20.25">
      <c r="A748" s="48">
        <v>782</v>
      </c>
      <c r="B748" s="44" t="s">
        <v>744</v>
      </c>
      <c r="C748" s="4" t="s">
        <v>85</v>
      </c>
      <c r="D748" s="5" t="s">
        <v>732</v>
      </c>
      <c r="E748" s="65" t="s">
        <v>104</v>
      </c>
      <c r="F748" s="34" t="s">
        <v>11</v>
      </c>
    </row>
    <row r="749" spans="1:6" ht="20.25">
      <c r="A749" s="48">
        <v>783</v>
      </c>
      <c r="B749" s="44" t="s">
        <v>741</v>
      </c>
      <c r="C749" s="4" t="s">
        <v>85</v>
      </c>
      <c r="D749" s="5" t="s">
        <v>732</v>
      </c>
      <c r="E749" s="65" t="s">
        <v>14</v>
      </c>
      <c r="F749" s="34" t="s">
        <v>11</v>
      </c>
    </row>
    <row r="750" spans="1:6" ht="20.25">
      <c r="A750" s="48">
        <v>784</v>
      </c>
      <c r="B750" s="44" t="s">
        <v>745</v>
      </c>
      <c r="C750" s="4" t="s">
        <v>85</v>
      </c>
      <c r="D750" s="5" t="s">
        <v>732</v>
      </c>
      <c r="E750" s="65" t="s">
        <v>712</v>
      </c>
      <c r="F750" s="34" t="s">
        <v>11</v>
      </c>
    </row>
    <row r="751" spans="1:6" ht="20.25">
      <c r="A751" s="48">
        <v>785</v>
      </c>
      <c r="B751" s="44" t="s">
        <v>734</v>
      </c>
      <c r="C751" s="4" t="s">
        <v>85</v>
      </c>
      <c r="D751" s="5" t="s">
        <v>732</v>
      </c>
      <c r="E751" s="65" t="s">
        <v>22</v>
      </c>
      <c r="F751" s="34" t="s">
        <v>11</v>
      </c>
    </row>
    <row r="752" spans="1:6" ht="20.25">
      <c r="A752" s="48">
        <v>786</v>
      </c>
      <c r="B752" s="44" t="s">
        <v>746</v>
      </c>
      <c r="C752" s="4" t="s">
        <v>85</v>
      </c>
      <c r="D752" s="5" t="s">
        <v>732</v>
      </c>
      <c r="E752" s="65" t="s">
        <v>669</v>
      </c>
      <c r="F752" s="34" t="s">
        <v>11</v>
      </c>
    </row>
    <row r="753" spans="1:6" ht="20.25">
      <c r="A753" s="48">
        <v>787</v>
      </c>
      <c r="B753" s="44" t="s">
        <v>747</v>
      </c>
      <c r="C753" s="4" t="s">
        <v>85</v>
      </c>
      <c r="D753" s="5" t="s">
        <v>732</v>
      </c>
      <c r="E753" s="65" t="s">
        <v>144</v>
      </c>
      <c r="F753" s="34" t="s">
        <v>11</v>
      </c>
    </row>
    <row r="754" spans="1:6" ht="20.25">
      <c r="A754" s="48">
        <v>788</v>
      </c>
      <c r="B754" s="44" t="s">
        <v>748</v>
      </c>
      <c r="C754" s="4" t="s">
        <v>85</v>
      </c>
      <c r="D754" s="5" t="s">
        <v>732</v>
      </c>
      <c r="E754" s="65" t="s">
        <v>144</v>
      </c>
      <c r="F754" s="34" t="s">
        <v>11</v>
      </c>
    </row>
    <row r="755" spans="1:6" ht="20.25">
      <c r="A755" s="48">
        <v>789</v>
      </c>
      <c r="B755" s="44" t="s">
        <v>749</v>
      </c>
      <c r="C755" s="4" t="s">
        <v>85</v>
      </c>
      <c r="D755" s="5" t="s">
        <v>732</v>
      </c>
      <c r="E755" s="65" t="s">
        <v>22</v>
      </c>
      <c r="F755" s="34" t="s">
        <v>11</v>
      </c>
    </row>
    <row r="756" spans="1:6" ht="20.25">
      <c r="A756" s="48">
        <v>790</v>
      </c>
      <c r="B756" s="44" t="s">
        <v>750</v>
      </c>
      <c r="C756" s="4" t="s">
        <v>85</v>
      </c>
      <c r="D756" s="5" t="s">
        <v>732</v>
      </c>
      <c r="E756" s="65" t="s">
        <v>22</v>
      </c>
      <c r="F756" s="34" t="s">
        <v>11</v>
      </c>
    </row>
    <row r="757" spans="1:6" ht="20.25">
      <c r="A757" s="48">
        <v>791</v>
      </c>
      <c r="B757" s="44" t="s">
        <v>751</v>
      </c>
      <c r="C757" s="4" t="s">
        <v>85</v>
      </c>
      <c r="D757" s="5" t="s">
        <v>732</v>
      </c>
      <c r="E757" s="65" t="s">
        <v>144</v>
      </c>
      <c r="F757" s="34" t="s">
        <v>11</v>
      </c>
    </row>
    <row r="758" spans="1:6" ht="20.25">
      <c r="A758" s="48">
        <v>792</v>
      </c>
      <c r="B758" s="44" t="s">
        <v>752</v>
      </c>
      <c r="C758" s="4" t="s">
        <v>85</v>
      </c>
      <c r="D758" s="5" t="s">
        <v>732</v>
      </c>
      <c r="E758" s="65" t="s">
        <v>144</v>
      </c>
      <c r="F758" s="34" t="s">
        <v>11</v>
      </c>
    </row>
    <row r="759" spans="1:6" ht="20.25">
      <c r="A759" s="48">
        <v>793</v>
      </c>
      <c r="B759" s="44" t="s">
        <v>753</v>
      </c>
      <c r="C759" s="4" t="s">
        <v>119</v>
      </c>
      <c r="D759" s="5" t="s">
        <v>732</v>
      </c>
      <c r="E759" s="65" t="s">
        <v>14</v>
      </c>
      <c r="F759" s="34" t="s">
        <v>11</v>
      </c>
    </row>
    <row r="760" spans="1:6" ht="20.25">
      <c r="A760" s="48">
        <v>794</v>
      </c>
      <c r="B760" s="44" t="s">
        <v>754</v>
      </c>
      <c r="C760" s="4" t="s">
        <v>119</v>
      </c>
      <c r="D760" s="5" t="s">
        <v>732</v>
      </c>
      <c r="E760" s="65" t="s">
        <v>144</v>
      </c>
      <c r="F760" s="34" t="s">
        <v>11</v>
      </c>
    </row>
    <row r="761" spans="1:6" ht="20.25">
      <c r="A761" s="48">
        <v>795</v>
      </c>
      <c r="B761" s="44" t="s">
        <v>755</v>
      </c>
      <c r="C761" s="4" t="s">
        <v>119</v>
      </c>
      <c r="D761" s="5" t="s">
        <v>732</v>
      </c>
      <c r="E761" s="65" t="s">
        <v>14</v>
      </c>
      <c r="F761" s="34" t="s">
        <v>11</v>
      </c>
    </row>
    <row r="762" spans="1:6" ht="20.25">
      <c r="A762" s="48">
        <v>796</v>
      </c>
      <c r="B762" s="44" t="s">
        <v>756</v>
      </c>
      <c r="C762" s="4" t="s">
        <v>119</v>
      </c>
      <c r="D762" s="5" t="s">
        <v>732</v>
      </c>
      <c r="E762" s="65" t="s">
        <v>14</v>
      </c>
      <c r="F762" s="34" t="s">
        <v>11</v>
      </c>
    </row>
    <row r="763" spans="1:6" ht="20.25">
      <c r="A763" s="48">
        <v>797</v>
      </c>
      <c r="B763" s="44" t="s">
        <v>757</v>
      </c>
      <c r="C763" s="4" t="s">
        <v>119</v>
      </c>
      <c r="D763" s="5" t="s">
        <v>732</v>
      </c>
      <c r="E763" s="65" t="s">
        <v>14</v>
      </c>
      <c r="F763" s="34" t="s">
        <v>11</v>
      </c>
    </row>
    <row r="764" spans="1:6" ht="20.25">
      <c r="A764" s="48">
        <v>798</v>
      </c>
      <c r="B764" s="44" t="s">
        <v>758</v>
      </c>
      <c r="C764" s="4" t="s">
        <v>119</v>
      </c>
      <c r="D764" s="5" t="s">
        <v>732</v>
      </c>
      <c r="E764" s="65" t="s">
        <v>14</v>
      </c>
      <c r="F764" s="34" t="s">
        <v>11</v>
      </c>
    </row>
    <row r="765" spans="1:6" ht="20.25">
      <c r="A765" s="48">
        <v>799</v>
      </c>
      <c r="B765" s="44" t="s">
        <v>759</v>
      </c>
      <c r="C765" s="4" t="s">
        <v>157</v>
      </c>
      <c r="D765" s="5" t="s">
        <v>732</v>
      </c>
      <c r="E765" s="65" t="s">
        <v>22</v>
      </c>
      <c r="F765" s="34" t="s">
        <v>11</v>
      </c>
    </row>
    <row r="766" spans="1:6" ht="20.25">
      <c r="A766" s="48">
        <v>800</v>
      </c>
      <c r="B766" s="44" t="s">
        <v>760</v>
      </c>
      <c r="C766" s="4" t="s">
        <v>157</v>
      </c>
      <c r="D766" s="5" t="s">
        <v>732</v>
      </c>
      <c r="E766" s="65" t="s">
        <v>104</v>
      </c>
      <c r="F766" s="34" t="s">
        <v>11</v>
      </c>
    </row>
    <row r="767" spans="1:6" ht="20.25">
      <c r="A767" s="48">
        <v>801</v>
      </c>
      <c r="B767" s="44" t="s">
        <v>761</v>
      </c>
      <c r="C767" s="4" t="s">
        <v>157</v>
      </c>
      <c r="D767" s="5" t="s">
        <v>732</v>
      </c>
      <c r="E767" s="65" t="s">
        <v>762</v>
      </c>
      <c r="F767" s="34" t="s">
        <v>11</v>
      </c>
    </row>
    <row r="768" spans="1:6" ht="20.25">
      <c r="A768" s="48">
        <v>802</v>
      </c>
      <c r="B768" s="44" t="s">
        <v>763</v>
      </c>
      <c r="C768" s="4" t="s">
        <v>157</v>
      </c>
      <c r="D768" s="5" t="s">
        <v>732</v>
      </c>
      <c r="E768" s="65" t="s">
        <v>14</v>
      </c>
      <c r="F768" s="34" t="s">
        <v>11</v>
      </c>
    </row>
    <row r="769" spans="1:6" ht="20.25">
      <c r="A769" s="48">
        <v>803</v>
      </c>
      <c r="B769" s="44" t="s">
        <v>764</v>
      </c>
      <c r="C769" s="4" t="s">
        <v>157</v>
      </c>
      <c r="D769" s="5" t="s">
        <v>732</v>
      </c>
      <c r="E769" s="65" t="s">
        <v>573</v>
      </c>
      <c r="F769" s="34" t="s">
        <v>11</v>
      </c>
    </row>
    <row r="770" spans="1:6" ht="20.25">
      <c r="A770" s="48">
        <v>804</v>
      </c>
      <c r="B770" s="44" t="s">
        <v>765</v>
      </c>
      <c r="C770" s="4" t="s">
        <v>157</v>
      </c>
      <c r="D770" s="5" t="s">
        <v>732</v>
      </c>
      <c r="E770" s="65" t="s">
        <v>144</v>
      </c>
      <c r="F770" s="34" t="s">
        <v>11</v>
      </c>
    </row>
    <row r="771" spans="1:6" ht="20.25">
      <c r="A771" s="48">
        <v>805</v>
      </c>
      <c r="B771" s="44" t="s">
        <v>765</v>
      </c>
      <c r="C771" s="4" t="s">
        <v>157</v>
      </c>
      <c r="D771" s="5" t="s">
        <v>732</v>
      </c>
      <c r="E771" s="65" t="s">
        <v>144</v>
      </c>
      <c r="F771" s="34" t="s">
        <v>11</v>
      </c>
    </row>
    <row r="772" spans="1:6" ht="20.25">
      <c r="A772" s="48">
        <v>806</v>
      </c>
      <c r="B772" s="44" t="s">
        <v>765</v>
      </c>
      <c r="C772" s="4" t="s">
        <v>157</v>
      </c>
      <c r="D772" s="5" t="s">
        <v>732</v>
      </c>
      <c r="E772" s="65" t="s">
        <v>144</v>
      </c>
      <c r="F772" s="34" t="s">
        <v>11</v>
      </c>
    </row>
    <row r="773" spans="1:6" ht="20.25">
      <c r="A773" s="48">
        <v>807</v>
      </c>
      <c r="B773" s="44" t="s">
        <v>765</v>
      </c>
      <c r="C773" s="4" t="s">
        <v>157</v>
      </c>
      <c r="D773" s="5" t="s">
        <v>732</v>
      </c>
      <c r="E773" s="65" t="s">
        <v>144</v>
      </c>
      <c r="F773" s="34" t="s">
        <v>11</v>
      </c>
    </row>
    <row r="774" spans="1:6" ht="20.25">
      <c r="A774" s="48">
        <v>808</v>
      </c>
      <c r="B774" s="44" t="s">
        <v>765</v>
      </c>
      <c r="C774" s="4" t="s">
        <v>157</v>
      </c>
      <c r="D774" s="5" t="s">
        <v>732</v>
      </c>
      <c r="E774" s="65" t="s">
        <v>144</v>
      </c>
      <c r="F774" s="34" t="s">
        <v>11</v>
      </c>
    </row>
    <row r="775" spans="1:6" ht="20.25">
      <c r="A775" s="48">
        <v>809</v>
      </c>
      <c r="B775" s="44" t="s">
        <v>765</v>
      </c>
      <c r="C775" s="4" t="s">
        <v>157</v>
      </c>
      <c r="D775" s="5" t="s">
        <v>732</v>
      </c>
      <c r="E775" s="65" t="s">
        <v>144</v>
      </c>
      <c r="F775" s="34" t="s">
        <v>11</v>
      </c>
    </row>
    <row r="776" spans="1:6" ht="20.25">
      <c r="A776" s="48">
        <v>810</v>
      </c>
      <c r="B776" s="44" t="s">
        <v>765</v>
      </c>
      <c r="C776" s="4" t="s">
        <v>157</v>
      </c>
      <c r="D776" s="5" t="s">
        <v>732</v>
      </c>
      <c r="E776" s="65" t="s">
        <v>144</v>
      </c>
      <c r="F776" s="34" t="s">
        <v>11</v>
      </c>
    </row>
    <row r="777" spans="1:6" ht="20.25">
      <c r="A777" s="48">
        <v>811</v>
      </c>
      <c r="B777" s="44" t="s">
        <v>765</v>
      </c>
      <c r="C777" s="4" t="s">
        <v>157</v>
      </c>
      <c r="D777" s="5" t="s">
        <v>732</v>
      </c>
      <c r="E777" s="65" t="s">
        <v>144</v>
      </c>
      <c r="F777" s="34" t="s">
        <v>11</v>
      </c>
    </row>
    <row r="778" spans="1:6" ht="20.25">
      <c r="A778" s="48">
        <v>812</v>
      </c>
      <c r="B778" s="44" t="s">
        <v>765</v>
      </c>
      <c r="C778" s="4" t="s">
        <v>157</v>
      </c>
      <c r="D778" s="5" t="s">
        <v>732</v>
      </c>
      <c r="E778" s="65" t="s">
        <v>144</v>
      </c>
      <c r="F778" s="34" t="s">
        <v>11</v>
      </c>
    </row>
    <row r="779" spans="1:6" ht="20.25">
      <c r="A779" s="48">
        <v>813</v>
      </c>
      <c r="B779" s="44" t="s">
        <v>765</v>
      </c>
      <c r="C779" s="4" t="s">
        <v>157</v>
      </c>
      <c r="D779" s="5" t="s">
        <v>732</v>
      </c>
      <c r="E779" s="65" t="s">
        <v>144</v>
      </c>
      <c r="F779" s="34" t="s">
        <v>11</v>
      </c>
    </row>
    <row r="780" spans="1:6" ht="20.25">
      <c r="A780" s="48">
        <v>814</v>
      </c>
      <c r="B780" s="44" t="s">
        <v>765</v>
      </c>
      <c r="C780" s="4" t="s">
        <v>157</v>
      </c>
      <c r="D780" s="5" t="s">
        <v>732</v>
      </c>
      <c r="E780" s="65" t="s">
        <v>144</v>
      </c>
      <c r="F780" s="34" t="s">
        <v>11</v>
      </c>
    </row>
    <row r="781" spans="1:6" ht="20.25">
      <c r="A781" s="48">
        <v>815</v>
      </c>
      <c r="B781" s="44" t="s">
        <v>765</v>
      </c>
      <c r="C781" s="4" t="s">
        <v>157</v>
      </c>
      <c r="D781" s="5" t="s">
        <v>732</v>
      </c>
      <c r="E781" s="65" t="s">
        <v>144</v>
      </c>
      <c r="F781" s="34" t="s">
        <v>11</v>
      </c>
    </row>
    <row r="782" spans="1:6" ht="20.25">
      <c r="A782" s="48">
        <v>816</v>
      </c>
      <c r="B782" s="44" t="s">
        <v>765</v>
      </c>
      <c r="C782" s="4" t="s">
        <v>157</v>
      </c>
      <c r="D782" s="5" t="s">
        <v>732</v>
      </c>
      <c r="E782" s="65" t="s">
        <v>144</v>
      </c>
      <c r="F782" s="34" t="s">
        <v>11</v>
      </c>
    </row>
    <row r="783" spans="1:6" ht="20.25">
      <c r="A783" s="48">
        <v>817</v>
      </c>
      <c r="B783" s="44" t="s">
        <v>765</v>
      </c>
      <c r="C783" s="4" t="s">
        <v>157</v>
      </c>
      <c r="D783" s="5" t="s">
        <v>732</v>
      </c>
      <c r="E783" s="65" t="s">
        <v>144</v>
      </c>
      <c r="F783" s="34" t="s">
        <v>11</v>
      </c>
    </row>
    <row r="784" spans="1:6" ht="20.25">
      <c r="A784" s="48">
        <v>818</v>
      </c>
      <c r="B784" s="44" t="s">
        <v>765</v>
      </c>
      <c r="C784" s="4" t="s">
        <v>157</v>
      </c>
      <c r="D784" s="5" t="s">
        <v>732</v>
      </c>
      <c r="E784" s="65" t="s">
        <v>144</v>
      </c>
      <c r="F784" s="34" t="s">
        <v>11</v>
      </c>
    </row>
    <row r="785" spans="1:6" ht="20.25">
      <c r="A785" s="48">
        <v>819</v>
      </c>
      <c r="B785" s="44" t="s">
        <v>765</v>
      </c>
      <c r="C785" s="4" t="s">
        <v>157</v>
      </c>
      <c r="D785" s="5" t="s">
        <v>732</v>
      </c>
      <c r="E785" s="65" t="s">
        <v>144</v>
      </c>
      <c r="F785" s="34" t="s">
        <v>11</v>
      </c>
    </row>
    <row r="786" spans="1:6" ht="20.25">
      <c r="A786" s="48">
        <v>820</v>
      </c>
      <c r="B786" s="44" t="s">
        <v>765</v>
      </c>
      <c r="C786" s="4" t="s">
        <v>157</v>
      </c>
      <c r="D786" s="5" t="s">
        <v>732</v>
      </c>
      <c r="E786" s="65" t="s">
        <v>144</v>
      </c>
      <c r="F786" s="34" t="s">
        <v>11</v>
      </c>
    </row>
    <row r="787" spans="1:6" ht="20.25">
      <c r="A787" s="48">
        <v>821</v>
      </c>
      <c r="B787" s="44" t="s">
        <v>765</v>
      </c>
      <c r="C787" s="4" t="s">
        <v>157</v>
      </c>
      <c r="D787" s="5" t="s">
        <v>732</v>
      </c>
      <c r="E787" s="65" t="s">
        <v>144</v>
      </c>
      <c r="F787" s="34" t="s">
        <v>11</v>
      </c>
    </row>
    <row r="788" spans="1:6" ht="20.25">
      <c r="A788" s="48">
        <v>822</v>
      </c>
      <c r="B788" s="44" t="s">
        <v>765</v>
      </c>
      <c r="C788" s="4" t="s">
        <v>157</v>
      </c>
      <c r="D788" s="5" t="s">
        <v>732</v>
      </c>
      <c r="E788" s="65" t="s">
        <v>144</v>
      </c>
      <c r="F788" s="34" t="s">
        <v>11</v>
      </c>
    </row>
    <row r="789" spans="1:6" ht="20.25">
      <c r="A789" s="48">
        <v>823</v>
      </c>
      <c r="B789" s="44" t="s">
        <v>765</v>
      </c>
      <c r="C789" s="4" t="s">
        <v>157</v>
      </c>
      <c r="D789" s="5" t="s">
        <v>732</v>
      </c>
      <c r="E789" s="65" t="s">
        <v>144</v>
      </c>
      <c r="F789" s="34" t="s">
        <v>11</v>
      </c>
    </row>
    <row r="790" spans="1:6" ht="20.25">
      <c r="A790" s="48">
        <v>824</v>
      </c>
      <c r="B790" s="44" t="s">
        <v>765</v>
      </c>
      <c r="C790" s="4" t="s">
        <v>157</v>
      </c>
      <c r="D790" s="5" t="s">
        <v>732</v>
      </c>
      <c r="E790" s="65" t="s">
        <v>144</v>
      </c>
      <c r="F790" s="34" t="s">
        <v>11</v>
      </c>
    </row>
    <row r="791" spans="1:6" ht="20.25">
      <c r="A791" s="48">
        <v>825</v>
      </c>
      <c r="B791" s="44" t="s">
        <v>765</v>
      </c>
      <c r="C791" s="4" t="s">
        <v>157</v>
      </c>
      <c r="D791" s="5" t="s">
        <v>732</v>
      </c>
      <c r="E791" s="65" t="s">
        <v>144</v>
      </c>
      <c r="F791" s="34" t="s">
        <v>11</v>
      </c>
    </row>
    <row r="792" spans="1:6" ht="20.25">
      <c r="A792" s="48">
        <v>826</v>
      </c>
      <c r="B792" s="44" t="s">
        <v>765</v>
      </c>
      <c r="C792" s="4" t="s">
        <v>157</v>
      </c>
      <c r="D792" s="5" t="s">
        <v>732</v>
      </c>
      <c r="E792" s="65" t="s">
        <v>144</v>
      </c>
      <c r="F792" s="34" t="s">
        <v>11</v>
      </c>
    </row>
    <row r="793" spans="1:6" ht="20.25">
      <c r="A793" s="48">
        <v>827</v>
      </c>
      <c r="B793" s="44" t="s">
        <v>765</v>
      </c>
      <c r="C793" s="4" t="s">
        <v>157</v>
      </c>
      <c r="D793" s="5" t="s">
        <v>732</v>
      </c>
      <c r="E793" s="65" t="s">
        <v>144</v>
      </c>
      <c r="F793" s="34" t="s">
        <v>11</v>
      </c>
    </row>
    <row r="794" spans="1:6" ht="20.25">
      <c r="A794" s="48">
        <v>828</v>
      </c>
      <c r="B794" s="44" t="s">
        <v>765</v>
      </c>
      <c r="C794" s="4" t="s">
        <v>157</v>
      </c>
      <c r="D794" s="5" t="s">
        <v>732</v>
      </c>
      <c r="E794" s="65" t="s">
        <v>144</v>
      </c>
      <c r="F794" s="34" t="s">
        <v>11</v>
      </c>
    </row>
    <row r="795" spans="1:6" ht="20.25">
      <c r="A795" s="48">
        <v>829</v>
      </c>
      <c r="B795" s="44" t="s">
        <v>765</v>
      </c>
      <c r="C795" s="4" t="s">
        <v>157</v>
      </c>
      <c r="D795" s="5" t="s">
        <v>732</v>
      </c>
      <c r="E795" s="65" t="s">
        <v>144</v>
      </c>
      <c r="F795" s="34" t="s">
        <v>11</v>
      </c>
    </row>
    <row r="796" spans="1:6" ht="20.25">
      <c r="A796" s="48">
        <v>830</v>
      </c>
      <c r="B796" s="44" t="s">
        <v>765</v>
      </c>
      <c r="C796" s="4" t="s">
        <v>157</v>
      </c>
      <c r="D796" s="5" t="s">
        <v>732</v>
      </c>
      <c r="E796" s="65" t="s">
        <v>144</v>
      </c>
      <c r="F796" s="34" t="s">
        <v>11</v>
      </c>
    </row>
    <row r="797" spans="1:6" ht="20.25">
      <c r="A797" s="48">
        <v>831</v>
      </c>
      <c r="B797" s="44" t="s">
        <v>765</v>
      </c>
      <c r="C797" s="4" t="s">
        <v>157</v>
      </c>
      <c r="D797" s="5" t="s">
        <v>732</v>
      </c>
      <c r="E797" s="65" t="s">
        <v>144</v>
      </c>
      <c r="F797" s="34" t="s">
        <v>11</v>
      </c>
    </row>
    <row r="798" spans="1:6" ht="20.25">
      <c r="A798" s="48">
        <v>832</v>
      </c>
      <c r="B798" s="44" t="s">
        <v>765</v>
      </c>
      <c r="C798" s="4" t="s">
        <v>157</v>
      </c>
      <c r="D798" s="5" t="s">
        <v>732</v>
      </c>
      <c r="E798" s="65" t="s">
        <v>144</v>
      </c>
      <c r="F798" s="34" t="s">
        <v>11</v>
      </c>
    </row>
    <row r="799" spans="1:6" ht="20.25">
      <c r="A799" s="48">
        <v>833</v>
      </c>
      <c r="B799" s="44" t="s">
        <v>765</v>
      </c>
      <c r="C799" s="4" t="s">
        <v>157</v>
      </c>
      <c r="D799" s="5" t="s">
        <v>732</v>
      </c>
      <c r="E799" s="65" t="s">
        <v>144</v>
      </c>
      <c r="F799" s="34" t="s">
        <v>11</v>
      </c>
    </row>
    <row r="800" spans="1:6" ht="20.25">
      <c r="A800" s="48">
        <v>834</v>
      </c>
      <c r="B800" s="44" t="s">
        <v>765</v>
      </c>
      <c r="C800" s="4" t="s">
        <v>157</v>
      </c>
      <c r="D800" s="5" t="s">
        <v>732</v>
      </c>
      <c r="E800" s="65" t="s">
        <v>144</v>
      </c>
      <c r="F800" s="34" t="s">
        <v>11</v>
      </c>
    </row>
    <row r="801" spans="1:6" ht="20.25">
      <c r="A801" s="48">
        <v>835</v>
      </c>
      <c r="B801" s="44" t="s">
        <v>765</v>
      </c>
      <c r="C801" s="4" t="s">
        <v>157</v>
      </c>
      <c r="D801" s="5" t="s">
        <v>732</v>
      </c>
      <c r="E801" s="65" t="s">
        <v>144</v>
      </c>
      <c r="F801" s="34" t="s">
        <v>11</v>
      </c>
    </row>
    <row r="802" spans="1:6" ht="20.25">
      <c r="A802" s="48">
        <v>836</v>
      </c>
      <c r="B802" s="44" t="s">
        <v>765</v>
      </c>
      <c r="C802" s="4" t="s">
        <v>157</v>
      </c>
      <c r="D802" s="5" t="s">
        <v>732</v>
      </c>
      <c r="E802" s="65" t="s">
        <v>144</v>
      </c>
      <c r="F802" s="34" t="s">
        <v>11</v>
      </c>
    </row>
    <row r="803" spans="1:6" ht="20.25">
      <c r="A803" s="48">
        <v>837</v>
      </c>
      <c r="B803" s="44" t="s">
        <v>765</v>
      </c>
      <c r="C803" s="4" t="s">
        <v>157</v>
      </c>
      <c r="D803" s="5" t="s">
        <v>732</v>
      </c>
      <c r="E803" s="65" t="s">
        <v>144</v>
      </c>
      <c r="F803" s="34" t="s">
        <v>11</v>
      </c>
    </row>
    <row r="804" spans="1:6" ht="20.25">
      <c r="A804" s="48">
        <v>838</v>
      </c>
      <c r="B804" s="44" t="s">
        <v>765</v>
      </c>
      <c r="C804" s="4" t="s">
        <v>157</v>
      </c>
      <c r="D804" s="5" t="s">
        <v>732</v>
      </c>
      <c r="E804" s="65" t="s">
        <v>144</v>
      </c>
      <c r="F804" s="34" t="s">
        <v>11</v>
      </c>
    </row>
    <row r="805" spans="1:6" ht="20.25">
      <c r="A805" s="48">
        <v>839</v>
      </c>
      <c r="B805" s="44" t="s">
        <v>765</v>
      </c>
      <c r="C805" s="4" t="s">
        <v>157</v>
      </c>
      <c r="D805" s="5" t="s">
        <v>732</v>
      </c>
      <c r="E805" s="65" t="s">
        <v>144</v>
      </c>
      <c r="F805" s="34" t="s">
        <v>11</v>
      </c>
    </row>
    <row r="806" spans="1:6" ht="20.25">
      <c r="A806" s="48">
        <v>840</v>
      </c>
      <c r="B806" s="44" t="s">
        <v>765</v>
      </c>
      <c r="C806" s="4" t="s">
        <v>157</v>
      </c>
      <c r="D806" s="5" t="s">
        <v>732</v>
      </c>
      <c r="E806" s="65" t="s">
        <v>144</v>
      </c>
      <c r="F806" s="34" t="s">
        <v>11</v>
      </c>
    </row>
    <row r="807" spans="1:6" ht="20.25">
      <c r="A807" s="48">
        <v>841</v>
      </c>
      <c r="B807" s="44" t="s">
        <v>765</v>
      </c>
      <c r="C807" s="4" t="s">
        <v>157</v>
      </c>
      <c r="D807" s="5" t="s">
        <v>732</v>
      </c>
      <c r="E807" s="65" t="s">
        <v>144</v>
      </c>
      <c r="F807" s="34" t="s">
        <v>11</v>
      </c>
    </row>
    <row r="808" spans="1:6" ht="20.25">
      <c r="A808" s="48">
        <v>842</v>
      </c>
      <c r="B808" s="44" t="s">
        <v>765</v>
      </c>
      <c r="C808" s="4" t="s">
        <v>157</v>
      </c>
      <c r="D808" s="5" t="s">
        <v>732</v>
      </c>
      <c r="E808" s="65" t="s">
        <v>144</v>
      </c>
      <c r="F808" s="34" t="s">
        <v>11</v>
      </c>
    </row>
    <row r="809" spans="1:6" ht="20.25">
      <c r="A809" s="48">
        <v>843</v>
      </c>
      <c r="B809" s="44" t="s">
        <v>765</v>
      </c>
      <c r="C809" s="4" t="s">
        <v>157</v>
      </c>
      <c r="D809" s="5" t="s">
        <v>732</v>
      </c>
      <c r="E809" s="65" t="s">
        <v>144</v>
      </c>
      <c r="F809" s="34" t="s">
        <v>11</v>
      </c>
    </row>
    <row r="810" spans="1:6" ht="20.25">
      <c r="A810" s="48">
        <v>844</v>
      </c>
      <c r="B810" s="44" t="s">
        <v>765</v>
      </c>
      <c r="C810" s="4" t="s">
        <v>157</v>
      </c>
      <c r="D810" s="5" t="s">
        <v>732</v>
      </c>
      <c r="E810" s="65" t="s">
        <v>144</v>
      </c>
      <c r="F810" s="34" t="s">
        <v>11</v>
      </c>
    </row>
    <row r="811" spans="1:6" ht="20.25">
      <c r="A811" s="48">
        <v>845</v>
      </c>
      <c r="B811" s="44" t="s">
        <v>765</v>
      </c>
      <c r="C811" s="4" t="s">
        <v>157</v>
      </c>
      <c r="D811" s="5" t="s">
        <v>732</v>
      </c>
      <c r="E811" s="65" t="s">
        <v>144</v>
      </c>
      <c r="F811" s="34" t="s">
        <v>11</v>
      </c>
    </row>
    <row r="812" spans="1:6" ht="20.25">
      <c r="A812" s="48">
        <v>846</v>
      </c>
      <c r="B812" s="44" t="s">
        <v>765</v>
      </c>
      <c r="C812" s="4" t="s">
        <v>157</v>
      </c>
      <c r="D812" s="5" t="s">
        <v>732</v>
      </c>
      <c r="E812" s="65" t="s">
        <v>144</v>
      </c>
      <c r="F812" s="34" t="s">
        <v>11</v>
      </c>
    </row>
    <row r="813" spans="1:6" ht="20.25">
      <c r="A813" s="48">
        <v>847</v>
      </c>
      <c r="B813" s="44" t="s">
        <v>765</v>
      </c>
      <c r="C813" s="4" t="s">
        <v>157</v>
      </c>
      <c r="D813" s="5" t="s">
        <v>732</v>
      </c>
      <c r="E813" s="65" t="s">
        <v>144</v>
      </c>
      <c r="F813" s="34" t="s">
        <v>11</v>
      </c>
    </row>
    <row r="814" spans="1:6" ht="20.25">
      <c r="A814" s="48">
        <v>848</v>
      </c>
      <c r="B814" s="44" t="s">
        <v>765</v>
      </c>
      <c r="C814" s="4" t="s">
        <v>157</v>
      </c>
      <c r="D814" s="5" t="s">
        <v>732</v>
      </c>
      <c r="E814" s="65" t="s">
        <v>144</v>
      </c>
      <c r="F814" s="34" t="s">
        <v>11</v>
      </c>
    </row>
    <row r="815" spans="1:6" ht="20.25">
      <c r="A815" s="48">
        <v>849</v>
      </c>
      <c r="B815" s="44" t="s">
        <v>765</v>
      </c>
      <c r="C815" s="4" t="s">
        <v>157</v>
      </c>
      <c r="D815" s="5" t="s">
        <v>732</v>
      </c>
      <c r="E815" s="65" t="s">
        <v>144</v>
      </c>
      <c r="F815" s="34" t="s">
        <v>11</v>
      </c>
    </row>
    <row r="816" spans="1:6" ht="20.25">
      <c r="A816" s="48">
        <v>850</v>
      </c>
      <c r="B816" s="44" t="s">
        <v>765</v>
      </c>
      <c r="C816" s="4" t="s">
        <v>157</v>
      </c>
      <c r="D816" s="5" t="s">
        <v>732</v>
      </c>
      <c r="E816" s="65" t="s">
        <v>144</v>
      </c>
      <c r="F816" s="34" t="s">
        <v>11</v>
      </c>
    </row>
    <row r="817" spans="1:6" ht="20.25">
      <c r="A817" s="48">
        <v>851</v>
      </c>
      <c r="B817" s="44" t="s">
        <v>765</v>
      </c>
      <c r="C817" s="4" t="s">
        <v>157</v>
      </c>
      <c r="D817" s="5" t="s">
        <v>732</v>
      </c>
      <c r="E817" s="65" t="s">
        <v>144</v>
      </c>
      <c r="F817" s="34" t="s">
        <v>11</v>
      </c>
    </row>
    <row r="818" spans="1:6" ht="20.25">
      <c r="A818" s="48">
        <v>852</v>
      </c>
      <c r="B818" s="44" t="s">
        <v>765</v>
      </c>
      <c r="C818" s="4" t="s">
        <v>157</v>
      </c>
      <c r="D818" s="5" t="s">
        <v>732</v>
      </c>
      <c r="E818" s="65" t="s">
        <v>144</v>
      </c>
      <c r="F818" s="34" t="s">
        <v>11</v>
      </c>
    </row>
    <row r="819" spans="1:6" ht="20.25">
      <c r="A819" s="48">
        <v>853</v>
      </c>
      <c r="B819" s="44" t="s">
        <v>765</v>
      </c>
      <c r="C819" s="4" t="s">
        <v>157</v>
      </c>
      <c r="D819" s="5" t="s">
        <v>732</v>
      </c>
      <c r="E819" s="65" t="s">
        <v>144</v>
      </c>
      <c r="F819" s="34" t="s">
        <v>11</v>
      </c>
    </row>
    <row r="820" spans="1:6" ht="20.25">
      <c r="A820" s="48">
        <v>854</v>
      </c>
      <c r="B820" s="44" t="s">
        <v>765</v>
      </c>
      <c r="C820" s="4" t="s">
        <v>157</v>
      </c>
      <c r="D820" s="5" t="s">
        <v>732</v>
      </c>
      <c r="E820" s="65" t="s">
        <v>144</v>
      </c>
      <c r="F820" s="34" t="s">
        <v>11</v>
      </c>
    </row>
    <row r="821" spans="1:6" ht="20.25">
      <c r="A821" s="48">
        <v>855</v>
      </c>
      <c r="B821" s="44" t="s">
        <v>765</v>
      </c>
      <c r="C821" s="4" t="s">
        <v>157</v>
      </c>
      <c r="D821" s="5" t="s">
        <v>732</v>
      </c>
      <c r="E821" s="65" t="s">
        <v>144</v>
      </c>
      <c r="F821" s="34" t="s">
        <v>11</v>
      </c>
    </row>
    <row r="822" spans="1:6" ht="20.25">
      <c r="A822" s="48">
        <v>856</v>
      </c>
      <c r="B822" s="44" t="s">
        <v>765</v>
      </c>
      <c r="C822" s="4" t="s">
        <v>157</v>
      </c>
      <c r="D822" s="5" t="s">
        <v>732</v>
      </c>
      <c r="E822" s="65" t="s">
        <v>144</v>
      </c>
      <c r="F822" s="34" t="s">
        <v>11</v>
      </c>
    </row>
    <row r="823" spans="1:6" ht="20.25">
      <c r="A823" s="48">
        <v>857</v>
      </c>
      <c r="B823" s="44" t="s">
        <v>765</v>
      </c>
      <c r="C823" s="4" t="s">
        <v>157</v>
      </c>
      <c r="D823" s="5" t="s">
        <v>732</v>
      </c>
      <c r="E823" s="65" t="s">
        <v>144</v>
      </c>
      <c r="F823" s="34" t="s">
        <v>11</v>
      </c>
    </row>
    <row r="824" spans="1:6" ht="20.25">
      <c r="A824" s="48">
        <v>858</v>
      </c>
      <c r="B824" s="44" t="s">
        <v>765</v>
      </c>
      <c r="C824" s="4" t="s">
        <v>157</v>
      </c>
      <c r="D824" s="5" t="s">
        <v>732</v>
      </c>
      <c r="E824" s="65" t="s">
        <v>144</v>
      </c>
      <c r="F824" s="34" t="s">
        <v>11</v>
      </c>
    </row>
    <row r="825" spans="1:6" ht="20.25">
      <c r="A825" s="48">
        <v>859</v>
      </c>
      <c r="B825" s="44" t="s">
        <v>765</v>
      </c>
      <c r="C825" s="4" t="s">
        <v>157</v>
      </c>
      <c r="D825" s="5" t="s">
        <v>732</v>
      </c>
      <c r="E825" s="65" t="s">
        <v>144</v>
      </c>
      <c r="F825" s="34" t="s">
        <v>11</v>
      </c>
    </row>
    <row r="826" spans="1:6" ht="20.25">
      <c r="A826" s="48">
        <v>860</v>
      </c>
      <c r="B826" s="44" t="s">
        <v>765</v>
      </c>
      <c r="C826" s="4" t="s">
        <v>157</v>
      </c>
      <c r="D826" s="5" t="s">
        <v>732</v>
      </c>
      <c r="E826" s="65" t="s">
        <v>144</v>
      </c>
      <c r="F826" s="34" t="s">
        <v>11</v>
      </c>
    </row>
    <row r="827" spans="1:6" ht="20.25">
      <c r="A827" s="48">
        <v>861</v>
      </c>
      <c r="B827" s="44" t="s">
        <v>765</v>
      </c>
      <c r="C827" s="4" t="s">
        <v>157</v>
      </c>
      <c r="D827" s="5" t="s">
        <v>732</v>
      </c>
      <c r="E827" s="65" t="s">
        <v>144</v>
      </c>
      <c r="F827" s="34" t="s">
        <v>11</v>
      </c>
    </row>
    <row r="828" spans="1:6" ht="20.25">
      <c r="A828" s="48">
        <v>862</v>
      </c>
      <c r="B828" s="44" t="s">
        <v>765</v>
      </c>
      <c r="C828" s="4" t="s">
        <v>157</v>
      </c>
      <c r="D828" s="5" t="s">
        <v>732</v>
      </c>
      <c r="E828" s="65" t="s">
        <v>144</v>
      </c>
      <c r="F828" s="34" t="s">
        <v>11</v>
      </c>
    </row>
    <row r="829" spans="1:6" ht="20.25">
      <c r="A829" s="48">
        <v>863</v>
      </c>
      <c r="B829" s="44" t="s">
        <v>765</v>
      </c>
      <c r="C829" s="4" t="s">
        <v>157</v>
      </c>
      <c r="D829" s="5" t="s">
        <v>732</v>
      </c>
      <c r="E829" s="65" t="s">
        <v>144</v>
      </c>
      <c r="F829" s="34" t="s">
        <v>11</v>
      </c>
    </row>
    <row r="830" spans="1:6" ht="20.25">
      <c r="A830" s="48">
        <v>864</v>
      </c>
      <c r="B830" s="44" t="s">
        <v>765</v>
      </c>
      <c r="C830" s="4" t="s">
        <v>157</v>
      </c>
      <c r="D830" s="5" t="s">
        <v>732</v>
      </c>
      <c r="E830" s="65" t="s">
        <v>144</v>
      </c>
      <c r="F830" s="34" t="s">
        <v>11</v>
      </c>
    </row>
    <row r="831" spans="1:6" ht="20.25">
      <c r="A831" s="48">
        <v>865</v>
      </c>
      <c r="B831" s="44" t="s">
        <v>765</v>
      </c>
      <c r="C831" s="4" t="s">
        <v>157</v>
      </c>
      <c r="D831" s="5" t="s">
        <v>732</v>
      </c>
      <c r="E831" s="65" t="s">
        <v>144</v>
      </c>
      <c r="F831" s="34" t="s">
        <v>11</v>
      </c>
    </row>
    <row r="832" spans="1:6" ht="20.25">
      <c r="A832" s="48">
        <v>866</v>
      </c>
      <c r="B832" s="44" t="s">
        <v>765</v>
      </c>
      <c r="C832" s="4" t="s">
        <v>157</v>
      </c>
      <c r="D832" s="5" t="s">
        <v>732</v>
      </c>
      <c r="E832" s="65" t="s">
        <v>144</v>
      </c>
      <c r="F832" s="34" t="s">
        <v>11</v>
      </c>
    </row>
    <row r="833" spans="1:6" ht="20.25">
      <c r="A833" s="48">
        <v>867</v>
      </c>
      <c r="B833" s="44" t="s">
        <v>765</v>
      </c>
      <c r="C833" s="4" t="s">
        <v>157</v>
      </c>
      <c r="D833" s="5" t="s">
        <v>732</v>
      </c>
      <c r="E833" s="65" t="s">
        <v>144</v>
      </c>
      <c r="F833" s="34" t="s">
        <v>11</v>
      </c>
    </row>
    <row r="834" spans="1:6" ht="20.25">
      <c r="A834" s="48">
        <v>868</v>
      </c>
      <c r="B834" s="44" t="s">
        <v>765</v>
      </c>
      <c r="C834" s="4" t="s">
        <v>157</v>
      </c>
      <c r="D834" s="5" t="s">
        <v>732</v>
      </c>
      <c r="E834" s="65" t="s">
        <v>144</v>
      </c>
      <c r="F834" s="34" t="s">
        <v>11</v>
      </c>
    </row>
    <row r="835" spans="1:6" ht="20.25">
      <c r="A835" s="48">
        <v>869</v>
      </c>
      <c r="B835" s="44" t="s">
        <v>765</v>
      </c>
      <c r="C835" s="4" t="s">
        <v>157</v>
      </c>
      <c r="D835" s="5" t="s">
        <v>732</v>
      </c>
      <c r="E835" s="65" t="s">
        <v>144</v>
      </c>
      <c r="F835" s="34" t="s">
        <v>11</v>
      </c>
    </row>
    <row r="836" spans="1:6" ht="20.25">
      <c r="A836" s="48">
        <v>870</v>
      </c>
      <c r="B836" s="44" t="s">
        <v>765</v>
      </c>
      <c r="C836" s="4" t="s">
        <v>157</v>
      </c>
      <c r="D836" s="5" t="s">
        <v>732</v>
      </c>
      <c r="E836" s="65" t="s">
        <v>144</v>
      </c>
      <c r="F836" s="34" t="s">
        <v>11</v>
      </c>
    </row>
    <row r="837" spans="1:6" ht="20.25">
      <c r="A837" s="48">
        <v>871</v>
      </c>
      <c r="B837" s="44" t="s">
        <v>765</v>
      </c>
      <c r="C837" s="4" t="s">
        <v>157</v>
      </c>
      <c r="D837" s="5" t="s">
        <v>732</v>
      </c>
      <c r="E837" s="65" t="s">
        <v>144</v>
      </c>
      <c r="F837" s="34" t="s">
        <v>11</v>
      </c>
    </row>
    <row r="838" spans="1:6" ht="20.25">
      <c r="A838" s="48">
        <v>872</v>
      </c>
      <c r="B838" s="44" t="s">
        <v>765</v>
      </c>
      <c r="C838" s="4" t="s">
        <v>157</v>
      </c>
      <c r="D838" s="5" t="s">
        <v>732</v>
      </c>
      <c r="E838" s="65" t="s">
        <v>144</v>
      </c>
      <c r="F838" s="34" t="s">
        <v>11</v>
      </c>
    </row>
    <row r="839" spans="1:6" ht="20.25">
      <c r="A839" s="48">
        <v>873</v>
      </c>
      <c r="B839" s="44" t="s">
        <v>765</v>
      </c>
      <c r="C839" s="4" t="s">
        <v>157</v>
      </c>
      <c r="D839" s="5" t="s">
        <v>732</v>
      </c>
      <c r="E839" s="65" t="s">
        <v>144</v>
      </c>
      <c r="F839" s="34" t="s">
        <v>11</v>
      </c>
    </row>
    <row r="840" spans="1:6" ht="20.25">
      <c r="A840" s="48">
        <v>874</v>
      </c>
      <c r="B840" s="44" t="s">
        <v>765</v>
      </c>
      <c r="C840" s="4" t="s">
        <v>157</v>
      </c>
      <c r="D840" s="5" t="s">
        <v>732</v>
      </c>
      <c r="E840" s="65" t="s">
        <v>144</v>
      </c>
      <c r="F840" s="34" t="s">
        <v>11</v>
      </c>
    </row>
    <row r="841" spans="1:6" ht="20.25">
      <c r="A841" s="48">
        <v>875</v>
      </c>
      <c r="B841" s="44" t="s">
        <v>765</v>
      </c>
      <c r="C841" s="4" t="s">
        <v>157</v>
      </c>
      <c r="D841" s="5" t="s">
        <v>732</v>
      </c>
      <c r="E841" s="65" t="s">
        <v>144</v>
      </c>
      <c r="F841" s="34" t="s">
        <v>11</v>
      </c>
    </row>
    <row r="842" spans="1:6" ht="20.25">
      <c r="A842" s="48">
        <v>876</v>
      </c>
      <c r="B842" s="44" t="s">
        <v>765</v>
      </c>
      <c r="C842" s="4" t="s">
        <v>157</v>
      </c>
      <c r="D842" s="5" t="s">
        <v>732</v>
      </c>
      <c r="E842" s="65" t="s">
        <v>144</v>
      </c>
      <c r="F842" s="34" t="s">
        <v>11</v>
      </c>
    </row>
    <row r="843" spans="1:6" ht="20.25">
      <c r="A843" s="48">
        <v>877</v>
      </c>
      <c r="B843" s="44" t="s">
        <v>765</v>
      </c>
      <c r="C843" s="4" t="s">
        <v>157</v>
      </c>
      <c r="D843" s="5" t="s">
        <v>732</v>
      </c>
      <c r="E843" s="65" t="s">
        <v>144</v>
      </c>
      <c r="F843" s="34" t="s">
        <v>11</v>
      </c>
    </row>
    <row r="844" spans="1:6" ht="20.25">
      <c r="A844" s="48">
        <v>878</v>
      </c>
      <c r="B844" s="44" t="s">
        <v>765</v>
      </c>
      <c r="C844" s="4" t="s">
        <v>157</v>
      </c>
      <c r="D844" s="5" t="s">
        <v>732</v>
      </c>
      <c r="E844" s="65" t="s">
        <v>144</v>
      </c>
      <c r="F844" s="34" t="s">
        <v>11</v>
      </c>
    </row>
    <row r="845" spans="1:6" ht="20.25">
      <c r="A845" s="48">
        <v>879</v>
      </c>
      <c r="B845" s="44" t="s">
        <v>765</v>
      </c>
      <c r="C845" s="4" t="s">
        <v>157</v>
      </c>
      <c r="D845" s="5" t="s">
        <v>732</v>
      </c>
      <c r="E845" s="65" t="s">
        <v>144</v>
      </c>
      <c r="F845" s="34" t="s">
        <v>11</v>
      </c>
    </row>
    <row r="846" spans="1:6" ht="20.25">
      <c r="A846" s="48">
        <v>880</v>
      </c>
      <c r="B846" s="44" t="s">
        <v>765</v>
      </c>
      <c r="C846" s="4" t="s">
        <v>157</v>
      </c>
      <c r="D846" s="5" t="s">
        <v>732</v>
      </c>
      <c r="E846" s="65" t="s">
        <v>144</v>
      </c>
      <c r="F846" s="34" t="s">
        <v>11</v>
      </c>
    </row>
    <row r="847" spans="1:6" ht="20.25">
      <c r="A847" s="48">
        <v>881</v>
      </c>
      <c r="B847" s="44" t="s">
        <v>765</v>
      </c>
      <c r="C847" s="4" t="s">
        <v>157</v>
      </c>
      <c r="D847" s="5" t="s">
        <v>732</v>
      </c>
      <c r="E847" s="65" t="s">
        <v>144</v>
      </c>
      <c r="F847" s="34" t="s">
        <v>11</v>
      </c>
    </row>
    <row r="848" spans="1:6" ht="20.25">
      <c r="A848" s="48">
        <v>882</v>
      </c>
      <c r="B848" s="44" t="s">
        <v>765</v>
      </c>
      <c r="C848" s="4" t="s">
        <v>157</v>
      </c>
      <c r="D848" s="5" t="s">
        <v>732</v>
      </c>
      <c r="E848" s="65" t="s">
        <v>144</v>
      </c>
      <c r="F848" s="34" t="s">
        <v>11</v>
      </c>
    </row>
    <row r="849" spans="1:6" ht="20.25">
      <c r="A849" s="48">
        <v>883</v>
      </c>
      <c r="B849" s="44" t="s">
        <v>765</v>
      </c>
      <c r="C849" s="4" t="s">
        <v>157</v>
      </c>
      <c r="D849" s="5" t="s">
        <v>732</v>
      </c>
      <c r="E849" s="65" t="s">
        <v>144</v>
      </c>
      <c r="F849" s="34" t="s">
        <v>11</v>
      </c>
    </row>
    <row r="850" spans="1:6" ht="20.25">
      <c r="A850" s="48">
        <v>884</v>
      </c>
      <c r="B850" s="44" t="s">
        <v>765</v>
      </c>
      <c r="C850" s="4" t="s">
        <v>157</v>
      </c>
      <c r="D850" s="5" t="s">
        <v>732</v>
      </c>
      <c r="E850" s="65" t="s">
        <v>144</v>
      </c>
      <c r="F850" s="34" t="s">
        <v>11</v>
      </c>
    </row>
    <row r="851" spans="1:6" ht="20.25">
      <c r="A851" s="48">
        <v>885</v>
      </c>
      <c r="B851" s="44" t="s">
        <v>765</v>
      </c>
      <c r="C851" s="4" t="s">
        <v>157</v>
      </c>
      <c r="D851" s="5" t="s">
        <v>732</v>
      </c>
      <c r="E851" s="65" t="s">
        <v>144</v>
      </c>
      <c r="F851" s="34" t="s">
        <v>11</v>
      </c>
    </row>
    <row r="852" spans="1:6" ht="20.25">
      <c r="A852" s="48">
        <v>886</v>
      </c>
      <c r="B852" s="44" t="s">
        <v>765</v>
      </c>
      <c r="C852" s="4" t="s">
        <v>157</v>
      </c>
      <c r="D852" s="5" t="s">
        <v>732</v>
      </c>
      <c r="E852" s="65" t="s">
        <v>144</v>
      </c>
      <c r="F852" s="34" t="s">
        <v>11</v>
      </c>
    </row>
    <row r="853" spans="1:6" ht="20.25">
      <c r="A853" s="48">
        <v>887</v>
      </c>
      <c r="B853" s="44" t="s">
        <v>765</v>
      </c>
      <c r="C853" s="4" t="s">
        <v>157</v>
      </c>
      <c r="D853" s="5" t="s">
        <v>732</v>
      </c>
      <c r="E853" s="65" t="s">
        <v>144</v>
      </c>
      <c r="F853" s="34" t="s">
        <v>11</v>
      </c>
    </row>
    <row r="854" spans="1:6" ht="20.25">
      <c r="A854" s="48">
        <v>888</v>
      </c>
      <c r="B854" s="44" t="s">
        <v>765</v>
      </c>
      <c r="C854" s="4" t="s">
        <v>157</v>
      </c>
      <c r="D854" s="5" t="s">
        <v>732</v>
      </c>
      <c r="E854" s="65" t="s">
        <v>144</v>
      </c>
      <c r="F854" s="34" t="s">
        <v>11</v>
      </c>
    </row>
    <row r="855" spans="1:6" ht="20.25">
      <c r="A855" s="48">
        <v>889</v>
      </c>
      <c r="B855" s="44" t="s">
        <v>765</v>
      </c>
      <c r="C855" s="4" t="s">
        <v>157</v>
      </c>
      <c r="D855" s="5" t="s">
        <v>732</v>
      </c>
      <c r="E855" s="65" t="s">
        <v>144</v>
      </c>
      <c r="F855" s="34" t="s">
        <v>11</v>
      </c>
    </row>
    <row r="856" spans="1:6" ht="20.25">
      <c r="A856" s="48">
        <v>890</v>
      </c>
      <c r="B856" s="44" t="s">
        <v>765</v>
      </c>
      <c r="C856" s="4" t="s">
        <v>157</v>
      </c>
      <c r="D856" s="5" t="s">
        <v>732</v>
      </c>
      <c r="E856" s="65" t="s">
        <v>144</v>
      </c>
      <c r="F856" s="34" t="s">
        <v>11</v>
      </c>
    </row>
    <row r="857" spans="1:6" ht="20.25">
      <c r="A857" s="48">
        <v>891</v>
      </c>
      <c r="B857" s="44" t="s">
        <v>765</v>
      </c>
      <c r="C857" s="4" t="s">
        <v>157</v>
      </c>
      <c r="D857" s="5" t="s">
        <v>732</v>
      </c>
      <c r="E857" s="65" t="s">
        <v>144</v>
      </c>
      <c r="F857" s="34" t="s">
        <v>11</v>
      </c>
    </row>
    <row r="858" spans="1:6" ht="20.25">
      <c r="A858" s="48">
        <v>892</v>
      </c>
      <c r="B858" s="44" t="s">
        <v>765</v>
      </c>
      <c r="C858" s="4" t="s">
        <v>157</v>
      </c>
      <c r="D858" s="5" t="s">
        <v>732</v>
      </c>
      <c r="E858" s="65" t="s">
        <v>144</v>
      </c>
      <c r="F858" s="34" t="s">
        <v>11</v>
      </c>
    </row>
    <row r="859" spans="1:6" ht="20.25">
      <c r="A859" s="48">
        <v>893</v>
      </c>
      <c r="B859" s="44" t="s">
        <v>765</v>
      </c>
      <c r="C859" s="4" t="s">
        <v>157</v>
      </c>
      <c r="D859" s="5" t="s">
        <v>732</v>
      </c>
      <c r="E859" s="65" t="s">
        <v>144</v>
      </c>
      <c r="F859" s="34" t="s">
        <v>11</v>
      </c>
    </row>
    <row r="860" spans="1:6" ht="20.25">
      <c r="A860" s="48">
        <v>894</v>
      </c>
      <c r="B860" s="44" t="s">
        <v>765</v>
      </c>
      <c r="C860" s="4" t="s">
        <v>157</v>
      </c>
      <c r="D860" s="5" t="s">
        <v>732</v>
      </c>
      <c r="E860" s="65" t="s">
        <v>144</v>
      </c>
      <c r="F860" s="34" t="s">
        <v>11</v>
      </c>
    </row>
    <row r="861" spans="1:6" ht="20.25">
      <c r="A861" s="48">
        <v>895</v>
      </c>
      <c r="B861" s="44" t="s">
        <v>765</v>
      </c>
      <c r="C861" s="4" t="s">
        <v>157</v>
      </c>
      <c r="D861" s="5" t="s">
        <v>732</v>
      </c>
      <c r="E861" s="65" t="s">
        <v>144</v>
      </c>
      <c r="F861" s="34" t="s">
        <v>11</v>
      </c>
    </row>
    <row r="862" spans="1:6" ht="20.25">
      <c r="A862" s="48">
        <v>896</v>
      </c>
      <c r="B862" s="44" t="s">
        <v>765</v>
      </c>
      <c r="C862" s="4" t="s">
        <v>157</v>
      </c>
      <c r="D862" s="5" t="s">
        <v>732</v>
      </c>
      <c r="E862" s="65" t="s">
        <v>144</v>
      </c>
      <c r="F862" s="34" t="s">
        <v>11</v>
      </c>
    </row>
    <row r="863" spans="1:6" ht="20.25">
      <c r="A863" s="48">
        <v>897</v>
      </c>
      <c r="B863" s="44" t="s">
        <v>765</v>
      </c>
      <c r="C863" s="4" t="s">
        <v>157</v>
      </c>
      <c r="D863" s="5" t="s">
        <v>732</v>
      </c>
      <c r="E863" s="65" t="s">
        <v>144</v>
      </c>
      <c r="F863" s="34" t="s">
        <v>11</v>
      </c>
    </row>
    <row r="864" spans="1:6" ht="20.25">
      <c r="A864" s="48">
        <v>898</v>
      </c>
      <c r="B864" s="44" t="s">
        <v>765</v>
      </c>
      <c r="C864" s="4" t="s">
        <v>157</v>
      </c>
      <c r="D864" s="5" t="s">
        <v>732</v>
      </c>
      <c r="E864" s="65" t="s">
        <v>144</v>
      </c>
      <c r="F864" s="34" t="s">
        <v>11</v>
      </c>
    </row>
    <row r="865" spans="1:7" ht="20.25">
      <c r="A865" s="48">
        <v>899</v>
      </c>
      <c r="B865" s="44" t="s">
        <v>765</v>
      </c>
      <c r="C865" s="4" t="s">
        <v>157</v>
      </c>
      <c r="D865" s="5" t="s">
        <v>732</v>
      </c>
      <c r="E865" s="65" t="s">
        <v>144</v>
      </c>
      <c r="F865" s="34" t="s">
        <v>11</v>
      </c>
    </row>
    <row r="866" spans="1:7" ht="20.25">
      <c r="A866" s="48">
        <v>900</v>
      </c>
      <c r="B866" s="44" t="s">
        <v>765</v>
      </c>
      <c r="C866" s="4" t="s">
        <v>157</v>
      </c>
      <c r="D866" s="5" t="s">
        <v>732</v>
      </c>
      <c r="E866" s="65" t="s">
        <v>144</v>
      </c>
      <c r="F866" s="34" t="s">
        <v>11</v>
      </c>
    </row>
    <row r="867" spans="1:7" ht="20.25">
      <c r="A867" s="48">
        <v>901</v>
      </c>
      <c r="B867" s="44" t="s">
        <v>765</v>
      </c>
      <c r="C867" s="4" t="s">
        <v>157</v>
      </c>
      <c r="D867" s="5" t="s">
        <v>732</v>
      </c>
      <c r="E867" s="65" t="s">
        <v>144</v>
      </c>
      <c r="F867" s="34" t="s">
        <v>11</v>
      </c>
    </row>
    <row r="868" spans="1:7" ht="20.25">
      <c r="A868" s="48">
        <v>902</v>
      </c>
      <c r="B868" s="44" t="s">
        <v>765</v>
      </c>
      <c r="C868" s="4" t="s">
        <v>157</v>
      </c>
      <c r="D868" s="5" t="s">
        <v>732</v>
      </c>
      <c r="E868" s="65" t="s">
        <v>144</v>
      </c>
      <c r="F868" s="34" t="s">
        <v>11</v>
      </c>
    </row>
    <row r="869" spans="1:7" ht="20.25">
      <c r="A869" s="48">
        <v>903</v>
      </c>
      <c r="B869" s="44" t="s">
        <v>765</v>
      </c>
      <c r="C869" s="4" t="s">
        <v>157</v>
      </c>
      <c r="D869" s="5" t="s">
        <v>732</v>
      </c>
      <c r="E869" s="65" t="s">
        <v>144</v>
      </c>
      <c r="F869" s="34" t="s">
        <v>11</v>
      </c>
    </row>
    <row r="870" spans="1:7" ht="20.25">
      <c r="A870" s="48">
        <v>904</v>
      </c>
      <c r="B870" s="44" t="s">
        <v>765</v>
      </c>
      <c r="C870" s="4" t="s">
        <v>157</v>
      </c>
      <c r="D870" s="5" t="s">
        <v>732</v>
      </c>
      <c r="E870" s="65" t="s">
        <v>144</v>
      </c>
      <c r="F870" s="34" t="s">
        <v>11</v>
      </c>
      <c r="G870" s="50"/>
    </row>
    <row r="871" spans="1:7" ht="20.25">
      <c r="A871" s="48">
        <v>905</v>
      </c>
      <c r="B871" s="44" t="s">
        <v>765</v>
      </c>
      <c r="C871" s="4" t="s">
        <v>157</v>
      </c>
      <c r="D871" s="5" t="s">
        <v>732</v>
      </c>
      <c r="E871" s="65" t="s">
        <v>144</v>
      </c>
      <c r="F871" s="34" t="s">
        <v>11</v>
      </c>
      <c r="G871" s="68"/>
    </row>
    <row r="872" spans="1:7" ht="20.25">
      <c r="A872" s="48">
        <v>906</v>
      </c>
      <c r="B872" s="44" t="s">
        <v>765</v>
      </c>
      <c r="C872" s="4" t="s">
        <v>157</v>
      </c>
      <c r="D872" s="5" t="s">
        <v>732</v>
      </c>
      <c r="E872" s="65" t="s">
        <v>144</v>
      </c>
      <c r="F872" s="34" t="s">
        <v>11</v>
      </c>
      <c r="G872" s="68"/>
    </row>
    <row r="873" spans="1:7" ht="20.25">
      <c r="A873" s="48">
        <v>907</v>
      </c>
      <c r="B873" s="44" t="s">
        <v>765</v>
      </c>
      <c r="C873" s="4" t="s">
        <v>157</v>
      </c>
      <c r="D873" s="5" t="s">
        <v>732</v>
      </c>
      <c r="E873" s="65" t="s">
        <v>144</v>
      </c>
      <c r="F873" s="34" t="s">
        <v>11</v>
      </c>
      <c r="G873" s="68"/>
    </row>
    <row r="874" spans="1:7" ht="20.25">
      <c r="A874" s="48">
        <v>908</v>
      </c>
      <c r="B874" s="44" t="s">
        <v>765</v>
      </c>
      <c r="C874" s="4" t="s">
        <v>157</v>
      </c>
      <c r="D874" s="5" t="s">
        <v>732</v>
      </c>
      <c r="E874" s="65" t="s">
        <v>144</v>
      </c>
      <c r="F874" s="34" t="s">
        <v>11</v>
      </c>
      <c r="G874" s="68"/>
    </row>
    <row r="875" spans="1:7" ht="20.25">
      <c r="A875" s="48">
        <v>909</v>
      </c>
      <c r="B875" s="44" t="s">
        <v>765</v>
      </c>
      <c r="C875" s="4" t="s">
        <v>157</v>
      </c>
      <c r="D875" s="5" t="s">
        <v>732</v>
      </c>
      <c r="E875" s="65" t="s">
        <v>144</v>
      </c>
      <c r="F875" s="34" t="s">
        <v>11</v>
      </c>
      <c r="G875" s="68"/>
    </row>
    <row r="876" spans="1:7" ht="20.25">
      <c r="A876" s="48">
        <v>910</v>
      </c>
      <c r="B876" s="44" t="s">
        <v>765</v>
      </c>
      <c r="C876" s="4" t="s">
        <v>157</v>
      </c>
      <c r="D876" s="5" t="s">
        <v>732</v>
      </c>
      <c r="E876" s="65" t="s">
        <v>144</v>
      </c>
      <c r="F876" s="34" t="s">
        <v>11</v>
      </c>
      <c r="G876" s="68"/>
    </row>
    <row r="877" spans="1:7" ht="20.25">
      <c r="A877" s="48">
        <v>911</v>
      </c>
      <c r="B877" s="44" t="s">
        <v>765</v>
      </c>
      <c r="C877" s="4" t="s">
        <v>157</v>
      </c>
      <c r="D877" s="5" t="s">
        <v>732</v>
      </c>
      <c r="E877" s="65" t="s">
        <v>144</v>
      </c>
      <c r="F877" s="34" t="s">
        <v>11</v>
      </c>
      <c r="G877" s="68"/>
    </row>
    <row r="878" spans="1:7" ht="20.25">
      <c r="A878" s="48">
        <v>912</v>
      </c>
      <c r="B878" s="44" t="s">
        <v>765</v>
      </c>
      <c r="C878" s="4" t="s">
        <v>157</v>
      </c>
      <c r="D878" s="5" t="s">
        <v>732</v>
      </c>
      <c r="E878" s="65" t="s">
        <v>144</v>
      </c>
      <c r="F878" s="34" t="s">
        <v>11</v>
      </c>
      <c r="G878" s="68"/>
    </row>
    <row r="879" spans="1:7" ht="20.25">
      <c r="A879" s="48">
        <v>913</v>
      </c>
      <c r="B879" s="44" t="s">
        <v>765</v>
      </c>
      <c r="C879" s="4" t="s">
        <v>157</v>
      </c>
      <c r="D879" s="5" t="s">
        <v>732</v>
      </c>
      <c r="E879" s="65" t="s">
        <v>144</v>
      </c>
      <c r="F879" s="34" t="s">
        <v>11</v>
      </c>
      <c r="G879" s="68"/>
    </row>
    <row r="880" spans="1:7" ht="20.25">
      <c r="A880" s="48">
        <v>914</v>
      </c>
      <c r="B880" s="44" t="s">
        <v>765</v>
      </c>
      <c r="C880" s="4" t="s">
        <v>157</v>
      </c>
      <c r="D880" s="5" t="s">
        <v>732</v>
      </c>
      <c r="E880" s="65" t="s">
        <v>144</v>
      </c>
      <c r="F880" s="34" t="s">
        <v>11</v>
      </c>
      <c r="G880" s="68"/>
    </row>
    <row r="881" spans="1:7" ht="20.25">
      <c r="A881" s="48">
        <v>915</v>
      </c>
      <c r="B881" s="44" t="s">
        <v>765</v>
      </c>
      <c r="C881" s="4" t="s">
        <v>157</v>
      </c>
      <c r="D881" s="5" t="s">
        <v>732</v>
      </c>
      <c r="E881" s="65" t="s">
        <v>144</v>
      </c>
      <c r="F881" s="34" t="s">
        <v>11</v>
      </c>
      <c r="G881" s="68"/>
    </row>
    <row r="882" spans="1:7" ht="20.25">
      <c r="A882" s="48">
        <v>916</v>
      </c>
      <c r="B882" s="44" t="s">
        <v>765</v>
      </c>
      <c r="C882" s="4" t="s">
        <v>157</v>
      </c>
      <c r="D882" s="5" t="s">
        <v>732</v>
      </c>
      <c r="E882" s="65" t="s">
        <v>144</v>
      </c>
      <c r="F882" s="34" t="s">
        <v>11</v>
      </c>
      <c r="G882" s="68"/>
    </row>
    <row r="883" spans="1:7" ht="20.25">
      <c r="A883" s="48">
        <v>917</v>
      </c>
      <c r="B883" s="44" t="s">
        <v>765</v>
      </c>
      <c r="C883" s="4" t="s">
        <v>157</v>
      </c>
      <c r="D883" s="5" t="s">
        <v>732</v>
      </c>
      <c r="E883" s="65" t="s">
        <v>144</v>
      </c>
      <c r="F883" s="34" t="s">
        <v>11</v>
      </c>
      <c r="G883" s="68"/>
    </row>
    <row r="884" spans="1:7" ht="20.25">
      <c r="A884" s="48">
        <v>918</v>
      </c>
      <c r="B884" s="44" t="s">
        <v>765</v>
      </c>
      <c r="C884" s="4" t="s">
        <v>157</v>
      </c>
      <c r="D884" s="5" t="s">
        <v>732</v>
      </c>
      <c r="E884" s="65" t="s">
        <v>144</v>
      </c>
      <c r="F884" s="34" t="s">
        <v>11</v>
      </c>
      <c r="G884" s="68"/>
    </row>
    <row r="885" spans="1:7" ht="20.25">
      <c r="A885" s="48">
        <v>919</v>
      </c>
      <c r="B885" s="44" t="s">
        <v>765</v>
      </c>
      <c r="C885" s="4" t="s">
        <v>157</v>
      </c>
      <c r="D885" s="5" t="s">
        <v>732</v>
      </c>
      <c r="E885" s="65" t="s">
        <v>144</v>
      </c>
      <c r="F885" s="34" t="s">
        <v>11</v>
      </c>
      <c r="G885" s="68"/>
    </row>
    <row r="886" spans="1:7" ht="20.25">
      <c r="A886" s="48">
        <v>920</v>
      </c>
      <c r="B886" s="44" t="s">
        <v>765</v>
      </c>
      <c r="C886" s="4" t="s">
        <v>157</v>
      </c>
      <c r="D886" s="5" t="s">
        <v>732</v>
      </c>
      <c r="E886" s="65" t="s">
        <v>144</v>
      </c>
      <c r="F886" s="34" t="s">
        <v>11</v>
      </c>
      <c r="G886" s="68"/>
    </row>
    <row r="887" spans="1:7" ht="20.25">
      <c r="A887" s="48">
        <v>921</v>
      </c>
      <c r="B887" s="44" t="s">
        <v>765</v>
      </c>
      <c r="C887" s="4" t="s">
        <v>157</v>
      </c>
      <c r="D887" s="5" t="s">
        <v>732</v>
      </c>
      <c r="E887" s="65" t="s">
        <v>144</v>
      </c>
      <c r="F887" s="34" t="s">
        <v>11</v>
      </c>
      <c r="G887" s="68"/>
    </row>
    <row r="888" spans="1:7" ht="20.25">
      <c r="A888" s="48">
        <v>922</v>
      </c>
      <c r="B888" s="44" t="s">
        <v>765</v>
      </c>
      <c r="C888" s="4" t="s">
        <v>157</v>
      </c>
      <c r="D888" s="5" t="s">
        <v>732</v>
      </c>
      <c r="E888" s="65" t="s">
        <v>144</v>
      </c>
      <c r="F888" s="34" t="s">
        <v>11</v>
      </c>
      <c r="G888" s="68"/>
    </row>
    <row r="889" spans="1:7" ht="20.25">
      <c r="A889" s="48">
        <v>923</v>
      </c>
      <c r="B889" s="44" t="s">
        <v>765</v>
      </c>
      <c r="C889" s="4" t="s">
        <v>157</v>
      </c>
      <c r="D889" s="5" t="s">
        <v>732</v>
      </c>
      <c r="E889" s="65" t="s">
        <v>144</v>
      </c>
      <c r="F889" s="34" t="s">
        <v>11</v>
      </c>
      <c r="G889" s="68"/>
    </row>
    <row r="890" spans="1:7" ht="20.25">
      <c r="A890" s="48">
        <v>924</v>
      </c>
      <c r="B890" s="44" t="s">
        <v>765</v>
      </c>
      <c r="C890" s="4" t="s">
        <v>157</v>
      </c>
      <c r="D890" s="5" t="s">
        <v>732</v>
      </c>
      <c r="E890" s="65" t="s">
        <v>144</v>
      </c>
      <c r="F890" s="34" t="s">
        <v>11</v>
      </c>
      <c r="G890" s="68"/>
    </row>
    <row r="891" spans="1:7" ht="20.25">
      <c r="A891" s="48">
        <v>925</v>
      </c>
      <c r="B891" s="44" t="s">
        <v>765</v>
      </c>
      <c r="C891" s="4" t="s">
        <v>157</v>
      </c>
      <c r="D891" s="5" t="s">
        <v>732</v>
      </c>
      <c r="E891" s="65" t="s">
        <v>144</v>
      </c>
      <c r="F891" s="34" t="s">
        <v>11</v>
      </c>
    </row>
    <row r="892" spans="1:7" ht="20.25">
      <c r="A892" s="48">
        <v>926</v>
      </c>
      <c r="B892" s="44" t="s">
        <v>765</v>
      </c>
      <c r="C892" s="4" t="s">
        <v>157</v>
      </c>
      <c r="D892" s="5" t="s">
        <v>732</v>
      </c>
      <c r="E892" s="65" t="s">
        <v>144</v>
      </c>
      <c r="F892" s="34" t="s">
        <v>11</v>
      </c>
    </row>
    <row r="893" spans="1:7" ht="20.25">
      <c r="A893" s="48">
        <v>927</v>
      </c>
      <c r="B893" s="44" t="s">
        <v>765</v>
      </c>
      <c r="C893" s="4" t="s">
        <v>157</v>
      </c>
      <c r="D893" s="5" t="s">
        <v>732</v>
      </c>
      <c r="E893" s="65" t="s">
        <v>144</v>
      </c>
      <c r="F893" s="34" t="s">
        <v>11</v>
      </c>
    </row>
    <row r="894" spans="1:7" ht="20.25">
      <c r="A894" s="48">
        <v>928</v>
      </c>
      <c r="B894" s="44" t="s">
        <v>765</v>
      </c>
      <c r="C894" s="4" t="s">
        <v>157</v>
      </c>
      <c r="D894" s="5" t="s">
        <v>732</v>
      </c>
      <c r="E894" s="65" t="s">
        <v>144</v>
      </c>
      <c r="F894" s="34" t="s">
        <v>11</v>
      </c>
    </row>
    <row r="895" spans="1:7" ht="20.25">
      <c r="A895" s="48">
        <v>929</v>
      </c>
      <c r="B895" s="44" t="s">
        <v>765</v>
      </c>
      <c r="C895" s="4" t="s">
        <v>157</v>
      </c>
      <c r="D895" s="5" t="s">
        <v>732</v>
      </c>
      <c r="E895" s="65" t="s">
        <v>144</v>
      </c>
      <c r="F895" s="34" t="s">
        <v>11</v>
      </c>
    </row>
    <row r="896" spans="1:7" ht="20.25">
      <c r="A896" s="48">
        <v>930</v>
      </c>
      <c r="B896" s="44" t="s">
        <v>765</v>
      </c>
      <c r="C896" s="4" t="s">
        <v>157</v>
      </c>
      <c r="D896" s="5" t="s">
        <v>732</v>
      </c>
      <c r="E896" s="65" t="s">
        <v>144</v>
      </c>
      <c r="F896" s="34" t="s">
        <v>11</v>
      </c>
    </row>
    <row r="897" spans="1:6" ht="20.25">
      <c r="A897" s="48">
        <v>931</v>
      </c>
      <c r="B897" s="44" t="s">
        <v>765</v>
      </c>
      <c r="C897" s="4" t="s">
        <v>157</v>
      </c>
      <c r="D897" s="5" t="s">
        <v>732</v>
      </c>
      <c r="E897" s="65" t="s">
        <v>144</v>
      </c>
      <c r="F897" s="34" t="s">
        <v>11</v>
      </c>
    </row>
    <row r="898" spans="1:6" ht="20.25">
      <c r="A898" s="48">
        <v>932</v>
      </c>
      <c r="B898" s="44" t="s">
        <v>765</v>
      </c>
      <c r="C898" s="4" t="s">
        <v>157</v>
      </c>
      <c r="D898" s="5" t="s">
        <v>732</v>
      </c>
      <c r="E898" s="65" t="s">
        <v>144</v>
      </c>
      <c r="F898" s="34" t="s">
        <v>11</v>
      </c>
    </row>
    <row r="899" spans="1:6" ht="20.25">
      <c r="A899" s="48">
        <v>933</v>
      </c>
      <c r="B899" s="44" t="s">
        <v>765</v>
      </c>
      <c r="C899" s="4" t="s">
        <v>157</v>
      </c>
      <c r="D899" s="5" t="s">
        <v>732</v>
      </c>
      <c r="E899" s="65" t="s">
        <v>144</v>
      </c>
      <c r="F899" s="34" t="s">
        <v>11</v>
      </c>
    </row>
    <row r="900" spans="1:6" ht="20.25">
      <c r="A900" s="48">
        <v>934</v>
      </c>
      <c r="B900" s="44" t="s">
        <v>765</v>
      </c>
      <c r="C900" s="4" t="s">
        <v>157</v>
      </c>
      <c r="D900" s="5" t="s">
        <v>732</v>
      </c>
      <c r="E900" s="65" t="s">
        <v>144</v>
      </c>
      <c r="F900" s="34" t="s">
        <v>11</v>
      </c>
    </row>
    <row r="901" spans="1:6" ht="20.25">
      <c r="A901" s="48">
        <v>935</v>
      </c>
      <c r="B901" s="44" t="s">
        <v>765</v>
      </c>
      <c r="C901" s="4" t="s">
        <v>157</v>
      </c>
      <c r="D901" s="5" t="s">
        <v>732</v>
      </c>
      <c r="E901" s="65" t="s">
        <v>144</v>
      </c>
      <c r="F901" s="34" t="s">
        <v>11</v>
      </c>
    </row>
    <row r="902" spans="1:6" ht="20.25">
      <c r="A902" s="48">
        <v>936</v>
      </c>
      <c r="B902" s="44" t="s">
        <v>765</v>
      </c>
      <c r="C902" s="4" t="s">
        <v>157</v>
      </c>
      <c r="D902" s="5" t="s">
        <v>732</v>
      </c>
      <c r="E902" s="65" t="s">
        <v>144</v>
      </c>
      <c r="F902" s="34" t="s">
        <v>11</v>
      </c>
    </row>
    <row r="903" spans="1:6" ht="20.25">
      <c r="A903" s="48">
        <v>937</v>
      </c>
      <c r="B903" s="44" t="s">
        <v>765</v>
      </c>
      <c r="C903" s="4" t="s">
        <v>157</v>
      </c>
      <c r="D903" s="5" t="s">
        <v>732</v>
      </c>
      <c r="E903" s="65" t="s">
        <v>144</v>
      </c>
      <c r="F903" s="34" t="s">
        <v>11</v>
      </c>
    </row>
    <row r="904" spans="1:6" ht="20.25">
      <c r="A904" s="48">
        <v>938</v>
      </c>
      <c r="B904" s="44" t="s">
        <v>765</v>
      </c>
      <c r="C904" s="4" t="s">
        <v>157</v>
      </c>
      <c r="D904" s="5" t="s">
        <v>732</v>
      </c>
      <c r="E904" s="65" t="s">
        <v>144</v>
      </c>
      <c r="F904" s="34" t="s">
        <v>11</v>
      </c>
    </row>
    <row r="905" spans="1:6" ht="20.25">
      <c r="A905" s="48">
        <v>939</v>
      </c>
      <c r="B905" s="44" t="s">
        <v>765</v>
      </c>
      <c r="C905" s="4" t="s">
        <v>157</v>
      </c>
      <c r="D905" s="5" t="s">
        <v>732</v>
      </c>
      <c r="E905" s="65" t="s">
        <v>144</v>
      </c>
      <c r="F905" s="34" t="s">
        <v>11</v>
      </c>
    </row>
    <row r="906" spans="1:6" ht="20.25">
      <c r="A906" s="48">
        <v>940</v>
      </c>
      <c r="B906" s="44" t="s">
        <v>765</v>
      </c>
      <c r="C906" s="4" t="s">
        <v>157</v>
      </c>
      <c r="D906" s="5" t="s">
        <v>732</v>
      </c>
      <c r="E906" s="65" t="s">
        <v>144</v>
      </c>
      <c r="F906" s="34" t="s">
        <v>11</v>
      </c>
    </row>
    <row r="907" spans="1:6" ht="20.25">
      <c r="A907" s="48">
        <v>941</v>
      </c>
      <c r="B907" s="44" t="s">
        <v>765</v>
      </c>
      <c r="C907" s="4" t="s">
        <v>157</v>
      </c>
      <c r="D907" s="5" t="s">
        <v>732</v>
      </c>
      <c r="E907" s="65" t="s">
        <v>144</v>
      </c>
      <c r="F907" s="34" t="s">
        <v>11</v>
      </c>
    </row>
    <row r="908" spans="1:6" ht="20.25">
      <c r="A908" s="48">
        <v>942</v>
      </c>
      <c r="B908" s="44" t="s">
        <v>765</v>
      </c>
      <c r="C908" s="4" t="s">
        <v>157</v>
      </c>
      <c r="D908" s="5" t="s">
        <v>732</v>
      </c>
      <c r="E908" s="65" t="s">
        <v>144</v>
      </c>
      <c r="F908" s="34" t="s">
        <v>11</v>
      </c>
    </row>
    <row r="909" spans="1:6" ht="20.25">
      <c r="A909" s="48">
        <v>943</v>
      </c>
      <c r="B909" s="44" t="s">
        <v>765</v>
      </c>
      <c r="C909" s="4" t="s">
        <v>157</v>
      </c>
      <c r="D909" s="5" t="s">
        <v>732</v>
      </c>
      <c r="E909" s="65" t="s">
        <v>144</v>
      </c>
      <c r="F909" s="34" t="s">
        <v>11</v>
      </c>
    </row>
    <row r="910" spans="1:6" ht="20.25">
      <c r="A910" s="48">
        <v>944</v>
      </c>
      <c r="B910" s="44" t="s">
        <v>765</v>
      </c>
      <c r="C910" s="4" t="s">
        <v>157</v>
      </c>
      <c r="D910" s="5" t="s">
        <v>732</v>
      </c>
      <c r="E910" s="65" t="s">
        <v>144</v>
      </c>
      <c r="F910" s="34" t="s">
        <v>11</v>
      </c>
    </row>
    <row r="911" spans="1:6" ht="20.25">
      <c r="A911" s="48">
        <v>945</v>
      </c>
      <c r="B911" s="44" t="s">
        <v>765</v>
      </c>
      <c r="C911" s="4" t="s">
        <v>157</v>
      </c>
      <c r="D911" s="5" t="s">
        <v>732</v>
      </c>
      <c r="E911" s="65" t="s">
        <v>144</v>
      </c>
      <c r="F911" s="34" t="s">
        <v>11</v>
      </c>
    </row>
    <row r="912" spans="1:6" ht="20.25">
      <c r="A912" s="48">
        <v>946</v>
      </c>
      <c r="B912" s="44" t="s">
        <v>765</v>
      </c>
      <c r="C912" s="4" t="s">
        <v>157</v>
      </c>
      <c r="D912" s="5" t="s">
        <v>732</v>
      </c>
      <c r="E912" s="65" t="s">
        <v>144</v>
      </c>
      <c r="F912" s="34" t="s">
        <v>11</v>
      </c>
    </row>
    <row r="913" spans="1:6" ht="20.25">
      <c r="A913" s="48">
        <v>947</v>
      </c>
      <c r="B913" s="44" t="s">
        <v>765</v>
      </c>
      <c r="C913" s="4" t="s">
        <v>157</v>
      </c>
      <c r="D913" s="5" t="s">
        <v>732</v>
      </c>
      <c r="E913" s="65" t="s">
        <v>144</v>
      </c>
      <c r="F913" s="34" t="s">
        <v>11</v>
      </c>
    </row>
    <row r="914" spans="1:6" ht="20.25">
      <c r="A914" s="48">
        <v>948</v>
      </c>
      <c r="B914" s="44" t="s">
        <v>765</v>
      </c>
      <c r="C914" s="4" t="s">
        <v>157</v>
      </c>
      <c r="D914" s="5" t="s">
        <v>732</v>
      </c>
      <c r="E914" s="65" t="s">
        <v>144</v>
      </c>
      <c r="F914" s="34" t="s">
        <v>11</v>
      </c>
    </row>
    <row r="915" spans="1:6" ht="20.25">
      <c r="A915" s="48">
        <v>949</v>
      </c>
      <c r="B915" s="44" t="s">
        <v>765</v>
      </c>
      <c r="C915" s="4" t="s">
        <v>157</v>
      </c>
      <c r="D915" s="5" t="s">
        <v>732</v>
      </c>
      <c r="E915" s="65" t="s">
        <v>144</v>
      </c>
      <c r="F915" s="34" t="s">
        <v>11</v>
      </c>
    </row>
    <row r="916" spans="1:6" ht="20.25">
      <c r="A916" s="48">
        <v>950</v>
      </c>
      <c r="B916" s="44" t="s">
        <v>765</v>
      </c>
      <c r="C916" s="4" t="s">
        <v>157</v>
      </c>
      <c r="D916" s="5" t="s">
        <v>732</v>
      </c>
      <c r="E916" s="65" t="s">
        <v>144</v>
      </c>
      <c r="F916" s="34" t="s">
        <v>11</v>
      </c>
    </row>
    <row r="917" spans="1:6" ht="20.25">
      <c r="A917" s="48">
        <v>951</v>
      </c>
      <c r="B917" s="44" t="s">
        <v>765</v>
      </c>
      <c r="C917" s="4" t="s">
        <v>157</v>
      </c>
      <c r="D917" s="5" t="s">
        <v>732</v>
      </c>
      <c r="E917" s="65" t="s">
        <v>144</v>
      </c>
      <c r="F917" s="34" t="s">
        <v>11</v>
      </c>
    </row>
    <row r="918" spans="1:6" ht="20.25">
      <c r="A918" s="48">
        <v>952</v>
      </c>
      <c r="B918" s="44" t="s">
        <v>765</v>
      </c>
      <c r="C918" s="4" t="s">
        <v>157</v>
      </c>
      <c r="D918" s="5" t="s">
        <v>732</v>
      </c>
      <c r="E918" s="65" t="s">
        <v>144</v>
      </c>
      <c r="F918" s="34" t="s">
        <v>11</v>
      </c>
    </row>
    <row r="919" spans="1:6" ht="20.25">
      <c r="A919" s="48">
        <v>953</v>
      </c>
      <c r="B919" s="44" t="s">
        <v>765</v>
      </c>
      <c r="C919" s="4" t="s">
        <v>157</v>
      </c>
      <c r="D919" s="5" t="s">
        <v>732</v>
      </c>
      <c r="E919" s="65" t="s">
        <v>144</v>
      </c>
      <c r="F919" s="34" t="s">
        <v>11</v>
      </c>
    </row>
    <row r="920" spans="1:6" ht="20.25">
      <c r="A920" s="48">
        <v>954</v>
      </c>
      <c r="B920" s="44" t="s">
        <v>765</v>
      </c>
      <c r="C920" s="4" t="s">
        <v>157</v>
      </c>
      <c r="D920" s="5" t="s">
        <v>732</v>
      </c>
      <c r="E920" s="65" t="s">
        <v>144</v>
      </c>
      <c r="F920" s="34" t="s">
        <v>11</v>
      </c>
    </row>
    <row r="921" spans="1:6" ht="20.25">
      <c r="A921" s="48">
        <v>955</v>
      </c>
      <c r="B921" s="44" t="s">
        <v>765</v>
      </c>
      <c r="C921" s="4" t="s">
        <v>157</v>
      </c>
      <c r="D921" s="5" t="s">
        <v>732</v>
      </c>
      <c r="E921" s="65" t="s">
        <v>144</v>
      </c>
      <c r="F921" s="34" t="s">
        <v>11</v>
      </c>
    </row>
    <row r="922" spans="1:6" ht="20.25">
      <c r="A922" s="48">
        <v>956</v>
      </c>
      <c r="B922" s="44" t="s">
        <v>765</v>
      </c>
      <c r="C922" s="4" t="s">
        <v>157</v>
      </c>
      <c r="D922" s="5" t="s">
        <v>732</v>
      </c>
      <c r="E922" s="65" t="s">
        <v>144</v>
      </c>
      <c r="F922" s="34" t="s">
        <v>11</v>
      </c>
    </row>
    <row r="923" spans="1:6" ht="20.25">
      <c r="A923" s="48">
        <v>957</v>
      </c>
      <c r="B923" s="44" t="s">
        <v>765</v>
      </c>
      <c r="C923" s="4" t="s">
        <v>157</v>
      </c>
      <c r="D923" s="5" t="s">
        <v>732</v>
      </c>
      <c r="E923" s="65" t="s">
        <v>144</v>
      </c>
      <c r="F923" s="34" t="s">
        <v>11</v>
      </c>
    </row>
    <row r="924" spans="1:6" ht="20.25">
      <c r="A924" s="48">
        <v>958</v>
      </c>
      <c r="B924" s="44" t="s">
        <v>765</v>
      </c>
      <c r="C924" s="4" t="s">
        <v>157</v>
      </c>
      <c r="D924" s="5" t="s">
        <v>732</v>
      </c>
      <c r="E924" s="65" t="s">
        <v>144</v>
      </c>
      <c r="F924" s="34" t="s">
        <v>11</v>
      </c>
    </row>
    <row r="925" spans="1:6" ht="20.25">
      <c r="A925" s="48">
        <v>959</v>
      </c>
      <c r="B925" s="44" t="s">
        <v>765</v>
      </c>
      <c r="C925" s="4" t="s">
        <v>157</v>
      </c>
      <c r="D925" s="5" t="s">
        <v>732</v>
      </c>
      <c r="E925" s="65" t="s">
        <v>144</v>
      </c>
      <c r="F925" s="34" t="s">
        <v>11</v>
      </c>
    </row>
    <row r="926" spans="1:6" ht="20.25">
      <c r="A926" s="48">
        <v>960</v>
      </c>
      <c r="B926" s="44" t="s">
        <v>765</v>
      </c>
      <c r="C926" s="4" t="s">
        <v>157</v>
      </c>
      <c r="D926" s="5" t="s">
        <v>732</v>
      </c>
      <c r="E926" s="65" t="s">
        <v>144</v>
      </c>
      <c r="F926" s="34" t="s">
        <v>11</v>
      </c>
    </row>
    <row r="927" spans="1:6" ht="20.25">
      <c r="A927" s="48">
        <v>961</v>
      </c>
      <c r="B927" s="44" t="s">
        <v>765</v>
      </c>
      <c r="C927" s="4" t="s">
        <v>157</v>
      </c>
      <c r="D927" s="5" t="s">
        <v>732</v>
      </c>
      <c r="E927" s="65" t="s">
        <v>144</v>
      </c>
      <c r="F927" s="34" t="s">
        <v>11</v>
      </c>
    </row>
    <row r="928" spans="1:6" ht="20.25">
      <c r="A928" s="48">
        <v>962</v>
      </c>
      <c r="B928" s="44" t="s">
        <v>765</v>
      </c>
      <c r="C928" s="4" t="s">
        <v>157</v>
      </c>
      <c r="D928" s="5" t="s">
        <v>732</v>
      </c>
      <c r="E928" s="65" t="s">
        <v>144</v>
      </c>
      <c r="F928" s="34" t="s">
        <v>11</v>
      </c>
    </row>
    <row r="929" spans="1:6" ht="20.25">
      <c r="A929" s="48">
        <v>963</v>
      </c>
      <c r="B929" s="44" t="s">
        <v>765</v>
      </c>
      <c r="C929" s="4" t="s">
        <v>157</v>
      </c>
      <c r="D929" s="5" t="s">
        <v>732</v>
      </c>
      <c r="E929" s="65" t="s">
        <v>144</v>
      </c>
      <c r="F929" s="34" t="s">
        <v>11</v>
      </c>
    </row>
    <row r="930" spans="1:6" ht="20.25">
      <c r="A930" s="48">
        <v>964</v>
      </c>
      <c r="B930" s="44" t="s">
        <v>765</v>
      </c>
      <c r="C930" s="4" t="s">
        <v>157</v>
      </c>
      <c r="D930" s="5" t="s">
        <v>732</v>
      </c>
      <c r="E930" s="65" t="s">
        <v>144</v>
      </c>
      <c r="F930" s="34" t="s">
        <v>11</v>
      </c>
    </row>
    <row r="931" spans="1:6" ht="20.25">
      <c r="A931" s="48">
        <v>965</v>
      </c>
      <c r="B931" s="44" t="s">
        <v>765</v>
      </c>
      <c r="C931" s="4" t="s">
        <v>157</v>
      </c>
      <c r="D931" s="5" t="s">
        <v>732</v>
      </c>
      <c r="E931" s="65" t="s">
        <v>144</v>
      </c>
      <c r="F931" s="34" t="s">
        <v>11</v>
      </c>
    </row>
    <row r="932" spans="1:6" ht="20.25">
      <c r="A932" s="48">
        <v>966</v>
      </c>
      <c r="B932" s="44" t="s">
        <v>765</v>
      </c>
      <c r="C932" s="4" t="s">
        <v>157</v>
      </c>
      <c r="D932" s="5" t="s">
        <v>732</v>
      </c>
      <c r="E932" s="65" t="s">
        <v>144</v>
      </c>
      <c r="F932" s="34" t="s">
        <v>11</v>
      </c>
    </row>
    <row r="933" spans="1:6" ht="20.25">
      <c r="A933" s="48">
        <v>967</v>
      </c>
      <c r="B933" s="44" t="s">
        <v>765</v>
      </c>
      <c r="C933" s="4" t="s">
        <v>157</v>
      </c>
      <c r="D933" s="5" t="s">
        <v>732</v>
      </c>
      <c r="E933" s="65" t="s">
        <v>144</v>
      </c>
      <c r="F933" s="34" t="s">
        <v>11</v>
      </c>
    </row>
    <row r="934" spans="1:6" ht="20.25">
      <c r="A934" s="48">
        <v>968</v>
      </c>
      <c r="B934" s="44" t="s">
        <v>765</v>
      </c>
      <c r="C934" s="4" t="s">
        <v>157</v>
      </c>
      <c r="D934" s="5" t="s">
        <v>732</v>
      </c>
      <c r="E934" s="65" t="s">
        <v>144</v>
      </c>
      <c r="F934" s="34" t="s">
        <v>11</v>
      </c>
    </row>
    <row r="935" spans="1:6" ht="20.25">
      <c r="A935" s="48">
        <v>969</v>
      </c>
      <c r="B935" s="44" t="s">
        <v>765</v>
      </c>
      <c r="C935" s="4" t="s">
        <v>157</v>
      </c>
      <c r="D935" s="5" t="s">
        <v>732</v>
      </c>
      <c r="E935" s="65" t="s">
        <v>144</v>
      </c>
      <c r="F935" s="34" t="s">
        <v>11</v>
      </c>
    </row>
    <row r="936" spans="1:6" ht="20.25">
      <c r="A936" s="48">
        <v>970</v>
      </c>
      <c r="B936" s="44" t="s">
        <v>765</v>
      </c>
      <c r="C936" s="4" t="s">
        <v>157</v>
      </c>
      <c r="D936" s="5" t="s">
        <v>732</v>
      </c>
      <c r="E936" s="65" t="s">
        <v>144</v>
      </c>
      <c r="F936" s="34" t="s">
        <v>11</v>
      </c>
    </row>
    <row r="937" spans="1:6" ht="20.25">
      <c r="A937" s="48">
        <v>971</v>
      </c>
      <c r="B937" s="44" t="s">
        <v>765</v>
      </c>
      <c r="C937" s="4" t="s">
        <v>157</v>
      </c>
      <c r="D937" s="5" t="s">
        <v>732</v>
      </c>
      <c r="E937" s="65" t="s">
        <v>144</v>
      </c>
      <c r="F937" s="34" t="s">
        <v>11</v>
      </c>
    </row>
    <row r="938" spans="1:6" ht="20.25">
      <c r="A938" s="48">
        <v>972</v>
      </c>
      <c r="B938" s="44" t="s">
        <v>765</v>
      </c>
      <c r="C938" s="4" t="s">
        <v>157</v>
      </c>
      <c r="D938" s="5" t="s">
        <v>732</v>
      </c>
      <c r="E938" s="65" t="s">
        <v>144</v>
      </c>
      <c r="F938" s="34" t="s">
        <v>11</v>
      </c>
    </row>
    <row r="939" spans="1:6" ht="20.25">
      <c r="A939" s="48">
        <v>973</v>
      </c>
      <c r="B939" s="44" t="s">
        <v>765</v>
      </c>
      <c r="C939" s="4" t="s">
        <v>157</v>
      </c>
      <c r="D939" s="5" t="s">
        <v>732</v>
      </c>
      <c r="E939" s="65" t="s">
        <v>144</v>
      </c>
      <c r="F939" s="34" t="s">
        <v>11</v>
      </c>
    </row>
    <row r="940" spans="1:6" ht="20.25">
      <c r="A940" s="48">
        <v>974</v>
      </c>
      <c r="B940" s="44" t="s">
        <v>766</v>
      </c>
      <c r="C940" s="4" t="s">
        <v>157</v>
      </c>
      <c r="D940" s="5" t="s">
        <v>732</v>
      </c>
      <c r="E940" s="65" t="s">
        <v>30</v>
      </c>
      <c r="F940" s="34" t="s">
        <v>11</v>
      </c>
    </row>
    <row r="941" spans="1:6" ht="20.25">
      <c r="A941" s="48">
        <v>975</v>
      </c>
      <c r="B941" s="44" t="s">
        <v>767</v>
      </c>
      <c r="C941" s="4" t="s">
        <v>157</v>
      </c>
      <c r="D941" s="5" t="s">
        <v>732</v>
      </c>
      <c r="E941" s="65" t="s">
        <v>30</v>
      </c>
      <c r="F941" s="34" t="s">
        <v>11</v>
      </c>
    </row>
    <row r="942" spans="1:6" ht="20.25">
      <c r="A942" s="48">
        <v>976</v>
      </c>
      <c r="B942" s="44" t="s">
        <v>768</v>
      </c>
      <c r="C942" s="4" t="s">
        <v>157</v>
      </c>
      <c r="D942" s="5" t="s">
        <v>732</v>
      </c>
      <c r="E942" s="65" t="s">
        <v>30</v>
      </c>
      <c r="F942" s="34" t="s">
        <v>15</v>
      </c>
    </row>
    <row r="943" spans="1:6" ht="20.25">
      <c r="A943" s="48">
        <v>977</v>
      </c>
      <c r="B943" s="44" t="s">
        <v>769</v>
      </c>
      <c r="C943" s="4" t="s">
        <v>157</v>
      </c>
      <c r="D943" s="5" t="s">
        <v>732</v>
      </c>
      <c r="E943" s="65" t="s">
        <v>30</v>
      </c>
      <c r="F943" s="34" t="s">
        <v>11</v>
      </c>
    </row>
    <row r="944" spans="1:6" ht="20.25">
      <c r="A944" s="48">
        <v>978</v>
      </c>
      <c r="B944" s="44" t="s">
        <v>770</v>
      </c>
      <c r="C944" s="4" t="s">
        <v>157</v>
      </c>
      <c r="D944" s="5" t="s">
        <v>732</v>
      </c>
      <c r="E944" s="65" t="s">
        <v>30</v>
      </c>
      <c r="F944" s="34" t="s">
        <v>11</v>
      </c>
    </row>
    <row r="945" spans="1:6" ht="20.25">
      <c r="A945" s="48">
        <v>979</v>
      </c>
      <c r="B945" s="44" t="s">
        <v>771</v>
      </c>
      <c r="C945" s="4" t="s">
        <v>157</v>
      </c>
      <c r="D945" s="5" t="s">
        <v>732</v>
      </c>
      <c r="E945" s="65" t="s">
        <v>30</v>
      </c>
      <c r="F945" s="34" t="s">
        <v>11</v>
      </c>
    </row>
    <row r="946" spans="1:6" ht="20.25">
      <c r="A946" s="48">
        <v>980</v>
      </c>
      <c r="B946" s="44" t="s">
        <v>772</v>
      </c>
      <c r="C946" s="4" t="s">
        <v>157</v>
      </c>
      <c r="D946" s="5" t="s">
        <v>732</v>
      </c>
      <c r="E946" s="65" t="s">
        <v>30</v>
      </c>
      <c r="F946" s="34" t="s">
        <v>11</v>
      </c>
    </row>
    <row r="947" spans="1:6" ht="20.25">
      <c r="A947" s="48">
        <v>981</v>
      </c>
      <c r="B947" s="44" t="s">
        <v>773</v>
      </c>
      <c r="C947" s="4" t="s">
        <v>157</v>
      </c>
      <c r="D947" s="5" t="s">
        <v>732</v>
      </c>
      <c r="E947" s="65" t="s">
        <v>30</v>
      </c>
      <c r="F947" s="34" t="s">
        <v>11</v>
      </c>
    </row>
    <row r="948" spans="1:6" ht="20.25">
      <c r="A948" s="48">
        <v>982</v>
      </c>
      <c r="B948" s="44" t="s">
        <v>774</v>
      </c>
      <c r="C948" s="4" t="s">
        <v>157</v>
      </c>
      <c r="D948" s="5" t="s">
        <v>732</v>
      </c>
      <c r="E948" s="65" t="s">
        <v>30</v>
      </c>
      <c r="F948" s="34" t="s">
        <v>11</v>
      </c>
    </row>
    <row r="949" spans="1:6" ht="20.25">
      <c r="A949" s="48">
        <v>983</v>
      </c>
      <c r="B949" s="44" t="s">
        <v>775</v>
      </c>
      <c r="C949" s="4" t="s">
        <v>157</v>
      </c>
      <c r="D949" s="5" t="s">
        <v>732</v>
      </c>
      <c r="E949" s="65" t="s">
        <v>30</v>
      </c>
      <c r="F949" s="34" t="s">
        <v>11</v>
      </c>
    </row>
    <row r="950" spans="1:6" ht="20.25">
      <c r="A950" s="48">
        <v>984</v>
      </c>
      <c r="B950" s="44" t="s">
        <v>776</v>
      </c>
      <c r="C950" s="4" t="s">
        <v>157</v>
      </c>
      <c r="D950" s="5" t="s">
        <v>732</v>
      </c>
      <c r="E950" s="65" t="s">
        <v>30</v>
      </c>
      <c r="F950" s="34" t="s">
        <v>11</v>
      </c>
    </row>
    <row r="951" spans="1:6" ht="20.25">
      <c r="A951" s="48">
        <v>985</v>
      </c>
      <c r="B951" s="69" t="s">
        <v>777</v>
      </c>
      <c r="C951" s="4" t="s">
        <v>8</v>
      </c>
      <c r="D951" s="5" t="s">
        <v>732</v>
      </c>
      <c r="E951" s="65" t="s">
        <v>104</v>
      </c>
      <c r="F951" s="34" t="s">
        <v>15</v>
      </c>
    </row>
    <row r="952" spans="1:6" ht="20.25">
      <c r="A952" s="48">
        <v>986</v>
      </c>
      <c r="B952" s="70" t="s">
        <v>778</v>
      </c>
      <c r="C952" s="4" t="s">
        <v>8</v>
      </c>
      <c r="D952" s="5" t="s">
        <v>732</v>
      </c>
      <c r="E952" s="65" t="s">
        <v>104</v>
      </c>
      <c r="F952" s="34" t="s">
        <v>11</v>
      </c>
    </row>
    <row r="953" spans="1:6" ht="20.25">
      <c r="A953" s="48">
        <v>987</v>
      </c>
      <c r="B953" s="69" t="s">
        <v>779</v>
      </c>
      <c r="C953" s="4" t="s">
        <v>8</v>
      </c>
      <c r="D953" s="5" t="s">
        <v>732</v>
      </c>
      <c r="E953" s="65" t="s">
        <v>104</v>
      </c>
      <c r="F953" s="34" t="s">
        <v>11</v>
      </c>
    </row>
    <row r="954" spans="1:6" ht="20.25">
      <c r="A954" s="48">
        <v>988</v>
      </c>
      <c r="B954" s="69" t="s">
        <v>780</v>
      </c>
      <c r="C954" s="4" t="s">
        <v>85</v>
      </c>
      <c r="D954" s="5" t="s">
        <v>732</v>
      </c>
      <c r="E954" s="65" t="s">
        <v>104</v>
      </c>
      <c r="F954" s="34" t="s">
        <v>11</v>
      </c>
    </row>
    <row r="955" spans="1:6" ht="20.25">
      <c r="A955" s="48">
        <v>989</v>
      </c>
      <c r="B955" s="69" t="s">
        <v>781</v>
      </c>
      <c r="C955" s="4" t="s">
        <v>85</v>
      </c>
      <c r="D955" s="5" t="s">
        <v>732</v>
      </c>
      <c r="E955" s="65" t="s">
        <v>104</v>
      </c>
      <c r="F955" s="34" t="s">
        <v>11</v>
      </c>
    </row>
    <row r="956" spans="1:6" ht="20.25">
      <c r="A956" s="48">
        <v>990</v>
      </c>
      <c r="B956" s="70" t="s">
        <v>782</v>
      </c>
      <c r="C956" s="4" t="s">
        <v>85</v>
      </c>
      <c r="D956" s="5" t="s">
        <v>732</v>
      </c>
      <c r="E956" s="65" t="s">
        <v>104</v>
      </c>
      <c r="F956" s="34" t="s">
        <v>11</v>
      </c>
    </row>
    <row r="957" spans="1:6" ht="20.25">
      <c r="A957" s="48">
        <v>991</v>
      </c>
      <c r="B957" s="70" t="s">
        <v>783</v>
      </c>
      <c r="C957" s="4" t="s">
        <v>119</v>
      </c>
      <c r="D957" s="5" t="s">
        <v>732</v>
      </c>
      <c r="E957" s="65" t="s">
        <v>104</v>
      </c>
      <c r="F957" s="34" t="s">
        <v>15</v>
      </c>
    </row>
    <row r="958" spans="1:6" ht="20.25">
      <c r="A958" s="48">
        <v>992</v>
      </c>
      <c r="B958" s="70" t="s">
        <v>784</v>
      </c>
      <c r="C958" s="4" t="s">
        <v>157</v>
      </c>
      <c r="D958" s="5" t="s">
        <v>732</v>
      </c>
      <c r="E958" s="65" t="s">
        <v>104</v>
      </c>
      <c r="F958" s="34" t="s">
        <v>11</v>
      </c>
    </row>
    <row r="959" spans="1:6" ht="20.25">
      <c r="A959" s="48">
        <v>993</v>
      </c>
      <c r="B959" s="70" t="s">
        <v>785</v>
      </c>
      <c r="C959" s="4" t="s">
        <v>157</v>
      </c>
      <c r="D959" s="5" t="s">
        <v>732</v>
      </c>
      <c r="E959" s="65" t="s">
        <v>104</v>
      </c>
      <c r="F959" s="34" t="s">
        <v>11</v>
      </c>
    </row>
    <row r="960" spans="1:6" ht="20.25">
      <c r="A960" s="48">
        <v>994</v>
      </c>
      <c r="B960" s="72" t="s">
        <v>786</v>
      </c>
      <c r="C960" s="4" t="s">
        <v>157</v>
      </c>
      <c r="D960" s="5" t="s">
        <v>732</v>
      </c>
      <c r="E960" s="65" t="s">
        <v>573</v>
      </c>
      <c r="F960" s="34" t="s">
        <v>11</v>
      </c>
    </row>
    <row r="961" spans="1:6" ht="20.25">
      <c r="A961" s="48">
        <v>995</v>
      </c>
      <c r="B961" s="70" t="s">
        <v>787</v>
      </c>
      <c r="C961" s="4" t="s">
        <v>8</v>
      </c>
      <c r="D961" s="5" t="s">
        <v>9</v>
      </c>
      <c r="E961" s="65" t="s">
        <v>10</v>
      </c>
      <c r="F961" s="34" t="s">
        <v>11</v>
      </c>
    </row>
    <row r="962" spans="1:6" ht="20.25">
      <c r="A962" s="48">
        <v>996</v>
      </c>
      <c r="B962" s="70" t="s">
        <v>788</v>
      </c>
      <c r="C962" s="4" t="s">
        <v>157</v>
      </c>
      <c r="D962" s="5" t="s">
        <v>9</v>
      </c>
      <c r="E962" s="65" t="s">
        <v>762</v>
      </c>
      <c r="F962" s="34" t="s">
        <v>11</v>
      </c>
    </row>
    <row r="963" spans="1:6" ht="20.25">
      <c r="A963" s="48">
        <v>997</v>
      </c>
      <c r="B963" s="70" t="s">
        <v>789</v>
      </c>
      <c r="C963" s="4" t="s">
        <v>157</v>
      </c>
      <c r="D963" s="5" t="s">
        <v>9</v>
      </c>
      <c r="E963" s="65" t="s">
        <v>17</v>
      </c>
      <c r="F963" s="34" t="s">
        <v>11</v>
      </c>
    </row>
    <row r="964" spans="1:6" ht="20.25">
      <c r="A964" s="48">
        <v>998</v>
      </c>
      <c r="B964" s="70" t="s">
        <v>790</v>
      </c>
      <c r="C964" s="4" t="s">
        <v>157</v>
      </c>
      <c r="D964" s="5" t="s">
        <v>9</v>
      </c>
      <c r="E964" s="65" t="s">
        <v>669</v>
      </c>
      <c r="F964" s="34" t="s">
        <v>15</v>
      </c>
    </row>
    <row r="965" spans="1:6" ht="20.25">
      <c r="A965" s="48">
        <v>999</v>
      </c>
      <c r="B965" s="70" t="s">
        <v>791</v>
      </c>
      <c r="C965" s="4" t="s">
        <v>157</v>
      </c>
      <c r="D965" s="5" t="s">
        <v>9</v>
      </c>
      <c r="E965" s="65" t="s">
        <v>10</v>
      </c>
      <c r="F965" s="34" t="s">
        <v>11</v>
      </c>
    </row>
    <row r="966" spans="1:6" ht="20.25">
      <c r="A966" s="48">
        <v>1000</v>
      </c>
      <c r="B966" s="70" t="s">
        <v>792</v>
      </c>
      <c r="C966" s="4" t="s">
        <v>157</v>
      </c>
      <c r="D966" s="5" t="s">
        <v>9</v>
      </c>
      <c r="E966" s="65" t="s">
        <v>14</v>
      </c>
      <c r="F966" s="34" t="s">
        <v>12</v>
      </c>
    </row>
    <row r="967" spans="1:6" ht="20.25">
      <c r="A967" s="48">
        <v>1001</v>
      </c>
      <c r="B967" s="69" t="s">
        <v>793</v>
      </c>
      <c r="C967" s="4" t="s">
        <v>157</v>
      </c>
      <c r="D967" s="5" t="s">
        <v>9</v>
      </c>
      <c r="E967" s="65" t="s">
        <v>794</v>
      </c>
      <c r="F967" s="34" t="s">
        <v>11</v>
      </c>
    </row>
    <row r="968" spans="1:6" ht="20.25">
      <c r="A968" s="48">
        <v>1002</v>
      </c>
      <c r="B968" s="69" t="s">
        <v>153</v>
      </c>
      <c r="C968" s="4" t="s">
        <v>157</v>
      </c>
      <c r="D968" s="5" t="s">
        <v>9</v>
      </c>
      <c r="E968" s="65" t="s">
        <v>14</v>
      </c>
      <c r="F968" s="34" t="s">
        <v>11</v>
      </c>
    </row>
    <row r="969" spans="1:6" ht="20.25">
      <c r="A969" s="48">
        <v>1003</v>
      </c>
      <c r="B969" s="70" t="s">
        <v>795</v>
      </c>
      <c r="C969" s="4" t="s">
        <v>157</v>
      </c>
      <c r="D969" s="5" t="s">
        <v>9</v>
      </c>
      <c r="E969" s="65" t="s">
        <v>14</v>
      </c>
      <c r="F969" s="34" t="s">
        <v>11</v>
      </c>
    </row>
    <row r="970" spans="1:6" ht="20.25">
      <c r="A970" s="48">
        <v>1004</v>
      </c>
      <c r="B970" s="70"/>
      <c r="C970" s="4"/>
      <c r="D970" s="5"/>
      <c r="E970" s="65"/>
      <c r="F970" s="34"/>
    </row>
    <row r="971" spans="1:6" ht="20.25">
      <c r="A971" s="48">
        <v>1005</v>
      </c>
      <c r="B971" s="70"/>
      <c r="C971" s="4"/>
      <c r="D971" s="5"/>
      <c r="E971" s="65"/>
      <c r="F971" s="34"/>
    </row>
    <row r="972" spans="1:6" ht="20.25">
      <c r="A972" s="48">
        <v>1006</v>
      </c>
      <c r="B972" s="70"/>
      <c r="C972" s="4"/>
      <c r="D972" s="5"/>
      <c r="E972" s="65"/>
      <c r="F972" s="34"/>
    </row>
    <row r="973" spans="1:6" ht="20.25">
      <c r="A973" s="48">
        <v>1007</v>
      </c>
      <c r="B973" s="70"/>
      <c r="C973" s="4"/>
      <c r="D973" s="5"/>
      <c r="E973" s="65"/>
      <c r="F973" s="34"/>
    </row>
    <row r="974" spans="1:6" ht="20.25">
      <c r="A974" s="48">
        <v>1008</v>
      </c>
      <c r="B974" s="70"/>
      <c r="C974" s="4"/>
      <c r="D974" s="5"/>
      <c r="E974" s="65"/>
      <c r="F974" s="34"/>
    </row>
    <row r="975" spans="1:6" ht="20.25">
      <c r="A975" s="48">
        <v>1009</v>
      </c>
      <c r="B975" s="70"/>
      <c r="C975" s="4"/>
      <c r="D975" s="5"/>
      <c r="E975" s="65"/>
      <c r="F975" s="34"/>
    </row>
    <row r="976" spans="1:6" ht="20.25">
      <c r="A976" s="48">
        <v>1010</v>
      </c>
      <c r="B976" s="70"/>
      <c r="C976" s="4"/>
      <c r="D976" s="5"/>
      <c r="E976" s="65"/>
      <c r="F976" s="34"/>
    </row>
    <row r="977" spans="1:6" ht="20.25">
      <c r="A977" s="48">
        <v>1011</v>
      </c>
      <c r="B977" s="70"/>
      <c r="C977" s="4"/>
      <c r="D977" s="5"/>
      <c r="E977" s="65"/>
      <c r="F977" s="34"/>
    </row>
    <row r="978" spans="1:6" ht="20.25">
      <c r="A978" s="48">
        <v>1012</v>
      </c>
      <c r="B978" s="70"/>
      <c r="C978" s="4"/>
      <c r="D978" s="5"/>
      <c r="E978" s="65"/>
      <c r="F978" s="34"/>
    </row>
    <row r="979" spans="1:6" ht="20.25">
      <c r="A979" s="48">
        <v>1013</v>
      </c>
      <c r="B979" s="70"/>
      <c r="C979" s="4"/>
      <c r="D979" s="5"/>
      <c r="E979" s="65"/>
      <c r="F979" s="34"/>
    </row>
    <row r="980" spans="1:6" ht="20.25">
      <c r="A980" s="48">
        <v>1014</v>
      </c>
      <c r="B980" s="70"/>
      <c r="C980" s="4"/>
      <c r="D980" s="5"/>
      <c r="E980" s="65"/>
      <c r="F980" s="34"/>
    </row>
    <row r="981" spans="1:6" ht="20.25">
      <c r="A981" s="48">
        <v>1015</v>
      </c>
      <c r="B981" s="70"/>
      <c r="C981" s="4"/>
      <c r="D981" s="5"/>
      <c r="E981" s="65"/>
      <c r="F981" s="34"/>
    </row>
    <row r="982" spans="1:6" ht="20.25">
      <c r="A982" s="48">
        <v>1016</v>
      </c>
      <c r="B982" s="70"/>
      <c r="C982" s="4"/>
      <c r="D982" s="5"/>
      <c r="E982" s="65"/>
      <c r="F982" s="34"/>
    </row>
    <row r="983" spans="1:6" ht="20.25">
      <c r="A983" s="48">
        <v>1017</v>
      </c>
      <c r="B983" s="70"/>
      <c r="C983" s="4"/>
      <c r="D983" s="5"/>
      <c r="E983" s="65"/>
      <c r="F983" s="34"/>
    </row>
    <row r="984" spans="1:6" ht="20.25">
      <c r="A984" s="48">
        <v>1018</v>
      </c>
      <c r="B984" s="70"/>
      <c r="C984" s="4"/>
      <c r="D984" s="5"/>
      <c r="E984" s="65"/>
      <c r="F984" s="34"/>
    </row>
    <row r="985" spans="1:6" ht="20.25">
      <c r="A985" s="48">
        <v>1019</v>
      </c>
      <c r="B985" s="70"/>
      <c r="C985" s="4"/>
      <c r="D985" s="5"/>
      <c r="E985" s="65"/>
      <c r="F985" s="34"/>
    </row>
    <row r="986" spans="1:6" ht="20.25">
      <c r="A986" s="48">
        <v>1020</v>
      </c>
      <c r="B986" s="70"/>
      <c r="C986" s="4"/>
      <c r="D986" s="5"/>
      <c r="E986" s="65"/>
      <c r="F986" s="34"/>
    </row>
    <row r="987" spans="1:6" ht="20.25">
      <c r="A987" s="48">
        <v>1021</v>
      </c>
      <c r="B987" s="70"/>
      <c r="C987" s="4"/>
      <c r="D987" s="5"/>
      <c r="E987" s="65"/>
      <c r="F987" s="34"/>
    </row>
    <row r="988" spans="1:6" ht="20.25">
      <c r="A988" s="48">
        <v>1022</v>
      </c>
      <c r="B988" s="70"/>
      <c r="C988" s="4"/>
      <c r="D988" s="5"/>
      <c r="E988" s="65"/>
      <c r="F988" s="34"/>
    </row>
    <row r="989" spans="1:6" ht="20.25">
      <c r="A989" s="48">
        <v>1023</v>
      </c>
      <c r="B989" s="70"/>
      <c r="C989" s="4"/>
      <c r="D989" s="5"/>
      <c r="E989" s="65"/>
      <c r="F989" s="34"/>
    </row>
    <row r="990" spans="1:6" ht="20.25">
      <c r="A990" s="48">
        <v>1024</v>
      </c>
      <c r="B990" s="70"/>
      <c r="C990" s="4"/>
      <c r="D990" s="5"/>
      <c r="E990" s="65"/>
      <c r="F990" s="34"/>
    </row>
    <row r="991" spans="1:6" ht="20.25">
      <c r="A991" s="48">
        <v>1025</v>
      </c>
      <c r="B991" s="70"/>
      <c r="C991" s="4"/>
      <c r="D991" s="5"/>
      <c r="E991" s="65"/>
      <c r="F991" s="34"/>
    </row>
    <row r="992" spans="1:6" ht="20.25">
      <c r="A992" s="48">
        <v>1026</v>
      </c>
      <c r="B992" s="70"/>
      <c r="C992" s="4"/>
      <c r="D992" s="5"/>
      <c r="E992" s="65"/>
      <c r="F992" s="34"/>
    </row>
    <row r="993" spans="1:6" ht="20.25">
      <c r="A993" s="48">
        <v>1027</v>
      </c>
      <c r="B993" s="70"/>
      <c r="C993" s="4"/>
      <c r="D993" s="5"/>
      <c r="E993" s="65"/>
      <c r="F993" s="34"/>
    </row>
    <row r="994" spans="1:6" ht="20.25">
      <c r="A994" s="48">
        <v>1028</v>
      </c>
      <c r="B994" s="70"/>
      <c r="C994" s="4"/>
      <c r="D994" s="5"/>
      <c r="E994" s="65"/>
      <c r="F994" s="34"/>
    </row>
    <row r="995" spans="1:6" ht="20.25">
      <c r="A995" s="48">
        <v>1029</v>
      </c>
      <c r="B995" s="70"/>
      <c r="C995" s="4"/>
      <c r="D995" s="5"/>
      <c r="E995" s="65"/>
      <c r="F995" s="34"/>
    </row>
    <row r="996" spans="1:6" ht="20.25">
      <c r="A996" s="48">
        <v>1030</v>
      </c>
      <c r="B996" s="70"/>
      <c r="C996" s="4"/>
      <c r="D996" s="5"/>
      <c r="E996" s="65"/>
      <c r="F996" s="34"/>
    </row>
    <row r="997" spans="1:6" ht="20.25">
      <c r="A997" s="48">
        <v>1031</v>
      </c>
      <c r="B997" s="70"/>
      <c r="C997" s="4"/>
      <c r="D997" s="5"/>
      <c r="E997" s="65"/>
      <c r="F997" s="34"/>
    </row>
    <row r="998" spans="1:6" ht="20.25">
      <c r="A998" s="48">
        <v>1032</v>
      </c>
      <c r="B998" s="70"/>
      <c r="C998" s="4"/>
      <c r="D998" s="5"/>
      <c r="E998" s="65"/>
      <c r="F998" s="34"/>
    </row>
    <row r="999" spans="1:6" ht="20.25">
      <c r="A999" s="48">
        <v>1033</v>
      </c>
      <c r="B999" s="70"/>
      <c r="C999" s="4"/>
      <c r="D999" s="5"/>
      <c r="E999" s="65"/>
      <c r="F999" s="34"/>
    </row>
    <row r="1000" spans="1:6" ht="20.25">
      <c r="A1000" s="48">
        <v>1034</v>
      </c>
      <c r="B1000" s="70"/>
      <c r="C1000" s="4"/>
      <c r="D1000" s="5"/>
      <c r="E1000" s="65"/>
      <c r="F1000" s="34"/>
    </row>
    <row r="1001" spans="1:6" ht="20.25">
      <c r="A1001" s="48">
        <v>1035</v>
      </c>
      <c r="B1001" s="70"/>
      <c r="C1001" s="4"/>
      <c r="D1001" s="5"/>
      <c r="E1001" s="65"/>
      <c r="F1001" s="34"/>
    </row>
    <row r="1002" spans="1:6" ht="20.25">
      <c r="A1002" s="48">
        <v>1036</v>
      </c>
      <c r="B1002" s="70"/>
      <c r="C1002" s="4"/>
      <c r="D1002" s="5"/>
      <c r="E1002" s="65"/>
      <c r="F1002" s="34"/>
    </row>
    <row r="1003" spans="1:6" ht="20.25">
      <c r="A1003" s="48">
        <v>1037</v>
      </c>
      <c r="B1003" s="70"/>
      <c r="C1003" s="4"/>
      <c r="D1003" s="5"/>
      <c r="E1003" s="65"/>
      <c r="F1003" s="34"/>
    </row>
    <row r="1004" spans="1:6" ht="20.25">
      <c r="A1004" s="48">
        <v>1038</v>
      </c>
      <c r="B1004" s="70"/>
      <c r="C1004" s="4"/>
      <c r="D1004" s="5"/>
      <c r="E1004" s="65"/>
      <c r="F1004" s="34"/>
    </row>
    <row r="1005" spans="1:6" ht="20.25">
      <c r="A1005" s="48">
        <v>1039</v>
      </c>
      <c r="B1005" s="70"/>
      <c r="C1005" s="4"/>
      <c r="D1005" s="5"/>
      <c r="E1005" s="65"/>
      <c r="F1005" s="34"/>
    </row>
    <row r="1006" spans="1:6" ht="20.25">
      <c r="A1006" s="48">
        <v>1040</v>
      </c>
      <c r="B1006" s="70"/>
      <c r="C1006" s="4"/>
      <c r="D1006" s="5"/>
      <c r="E1006" s="65"/>
      <c r="F1006" s="34"/>
    </row>
    <row r="1007" spans="1:6" ht="20.25">
      <c r="A1007" s="48">
        <v>1041</v>
      </c>
      <c r="B1007" s="70"/>
      <c r="C1007" s="4"/>
      <c r="D1007" s="5"/>
      <c r="E1007" s="65"/>
      <c r="F1007" s="34"/>
    </row>
    <row r="1008" spans="1:6" ht="20.25">
      <c r="A1008" s="48">
        <v>1042</v>
      </c>
      <c r="B1008" s="70"/>
      <c r="C1008" s="4"/>
      <c r="D1008" s="5"/>
      <c r="E1008" s="65"/>
      <c r="F1008" s="34"/>
    </row>
    <row r="1009" spans="1:6" ht="20.25">
      <c r="A1009" s="48">
        <v>1043</v>
      </c>
      <c r="B1009" s="70"/>
      <c r="C1009" s="4"/>
      <c r="D1009" s="5"/>
      <c r="E1009" s="65"/>
      <c r="F1009" s="34"/>
    </row>
    <row r="1010" spans="1:6" ht="20.25">
      <c r="A1010" s="48">
        <v>1044</v>
      </c>
      <c r="B1010" s="70"/>
      <c r="C1010" s="4"/>
      <c r="D1010" s="5"/>
      <c r="E1010" s="65"/>
      <c r="F1010" s="34"/>
    </row>
    <row r="1011" spans="1:6" ht="20.25">
      <c r="A1011" s="48">
        <v>1045</v>
      </c>
      <c r="B1011" s="70"/>
      <c r="C1011" s="4"/>
      <c r="D1011" s="5"/>
      <c r="E1011" s="65"/>
      <c r="F1011" s="34"/>
    </row>
    <row r="1012" spans="1:6" ht="20.25">
      <c r="A1012" s="48">
        <v>1046</v>
      </c>
      <c r="B1012" s="70"/>
      <c r="C1012" s="4"/>
      <c r="D1012" s="5"/>
      <c r="E1012" s="65"/>
      <c r="F1012" s="34"/>
    </row>
    <row r="1013" spans="1:6" ht="20.25">
      <c r="A1013" s="48">
        <v>1047</v>
      </c>
      <c r="B1013" s="70"/>
      <c r="C1013" s="4"/>
      <c r="D1013" s="5"/>
      <c r="E1013" s="65"/>
      <c r="F1013" s="34"/>
    </row>
    <row r="1014" spans="1:6" ht="20.25">
      <c r="A1014" s="48">
        <v>1048</v>
      </c>
      <c r="B1014" s="70"/>
      <c r="C1014" s="4"/>
      <c r="D1014" s="5"/>
      <c r="E1014" s="65"/>
      <c r="F1014" s="34"/>
    </row>
    <row r="1015" spans="1:6" ht="20.25">
      <c r="A1015" s="48">
        <v>1049</v>
      </c>
      <c r="B1015" s="70"/>
      <c r="C1015" s="4"/>
      <c r="D1015" s="5"/>
      <c r="E1015" s="65"/>
      <c r="F1015" s="34"/>
    </row>
    <row r="1016" spans="1:6" ht="20.25">
      <c r="A1016" s="48">
        <v>1050</v>
      </c>
      <c r="B1016" s="70"/>
      <c r="C1016" s="4"/>
      <c r="D1016" s="5"/>
      <c r="E1016" s="65"/>
      <c r="F1016" s="34"/>
    </row>
    <row r="1017" spans="1:6" ht="20.25">
      <c r="A1017" s="48">
        <v>1051</v>
      </c>
      <c r="B1017" s="70"/>
      <c r="C1017" s="4"/>
      <c r="D1017" s="5"/>
      <c r="E1017" s="65"/>
      <c r="F1017" s="34"/>
    </row>
    <row r="1018" spans="1:6" ht="20.25">
      <c r="A1018" s="48">
        <v>1052</v>
      </c>
      <c r="B1018" s="70"/>
      <c r="C1018" s="4"/>
      <c r="D1018" s="5"/>
      <c r="E1018" s="65"/>
      <c r="F1018" s="34"/>
    </row>
    <row r="1019" spans="1:6" ht="20.25">
      <c r="A1019" s="48">
        <v>1053</v>
      </c>
      <c r="B1019" s="70"/>
      <c r="C1019" s="4"/>
      <c r="D1019" s="5"/>
      <c r="E1019" s="65"/>
      <c r="F1019" s="34"/>
    </row>
    <row r="1020" spans="1:6" ht="20.25">
      <c r="A1020" s="48">
        <v>1054</v>
      </c>
      <c r="B1020" s="70"/>
      <c r="C1020" s="4"/>
      <c r="D1020" s="5"/>
      <c r="E1020" s="65"/>
      <c r="F1020" s="34"/>
    </row>
    <row r="1021" spans="1:6" ht="20.25">
      <c r="A1021" s="48">
        <v>1055</v>
      </c>
      <c r="B1021" s="70"/>
      <c r="C1021" s="4"/>
      <c r="D1021" s="5"/>
      <c r="E1021" s="65"/>
      <c r="F1021" s="34"/>
    </row>
    <row r="1022" spans="1:6" ht="20.25">
      <c r="A1022" s="48">
        <v>1056</v>
      </c>
      <c r="B1022" s="70"/>
      <c r="C1022" s="4"/>
      <c r="D1022" s="5"/>
      <c r="E1022" s="65"/>
      <c r="F1022" s="34"/>
    </row>
    <row r="1023" spans="1:6" ht="20.25">
      <c r="A1023" s="48">
        <v>1057</v>
      </c>
      <c r="B1023" s="70"/>
      <c r="C1023" s="4"/>
      <c r="D1023" s="5"/>
      <c r="E1023" s="65"/>
      <c r="F1023" s="34"/>
    </row>
    <row r="1024" spans="1:6" ht="20.25">
      <c r="A1024" s="48">
        <v>1058</v>
      </c>
      <c r="B1024" s="70"/>
      <c r="C1024" s="4"/>
      <c r="D1024" s="5"/>
      <c r="E1024" s="65"/>
      <c r="F1024" s="34"/>
    </row>
    <row r="1025" spans="1:6" ht="20.25">
      <c r="A1025" s="48">
        <v>1059</v>
      </c>
      <c r="B1025" s="70"/>
      <c r="C1025" s="4"/>
      <c r="D1025" s="5"/>
      <c r="E1025" s="65"/>
      <c r="F1025" s="34"/>
    </row>
    <row r="1026" spans="1:6" ht="20.25">
      <c r="A1026" s="48">
        <v>1060</v>
      </c>
      <c r="B1026" s="70"/>
      <c r="C1026" s="4"/>
      <c r="D1026" s="5"/>
      <c r="E1026" s="65"/>
      <c r="F1026" s="34"/>
    </row>
    <row r="1027" spans="1:6" ht="20.25">
      <c r="A1027" s="48">
        <v>1061</v>
      </c>
      <c r="B1027" s="70"/>
      <c r="C1027" s="4"/>
      <c r="D1027" s="5"/>
      <c r="E1027" s="65"/>
      <c r="F1027" s="34"/>
    </row>
    <row r="1028" spans="1:6" ht="20.25">
      <c r="A1028" s="48">
        <v>1062</v>
      </c>
      <c r="B1028" s="70"/>
      <c r="C1028" s="4"/>
      <c r="D1028" s="5"/>
      <c r="E1028" s="65"/>
      <c r="F1028" s="34"/>
    </row>
    <row r="1029" spans="1:6" ht="18">
      <c r="A1029" s="48">
        <v>1063</v>
      </c>
    </row>
    <row r="1030" spans="1:6" ht="18">
      <c r="A1030" s="48">
        <v>1064</v>
      </c>
    </row>
    <row r="1031" spans="1:6" ht="18">
      <c r="A1031" s="48">
        <v>1065</v>
      </c>
    </row>
    <row r="1032" spans="1:6" ht="18">
      <c r="A1032" s="48">
        <v>1066</v>
      </c>
    </row>
    <row r="1033" spans="1:6" ht="18">
      <c r="A1033" s="48">
        <v>1067</v>
      </c>
    </row>
    <row r="1034" spans="1:6" ht="18">
      <c r="A1034" s="48">
        <v>1068</v>
      </c>
    </row>
    <row r="1035" spans="1:6" ht="18">
      <c r="A1035" s="48">
        <v>1069</v>
      </c>
    </row>
    <row r="1036" spans="1:6" ht="18">
      <c r="A1036" s="48">
        <v>1070</v>
      </c>
    </row>
    <row r="1037" spans="1:6" ht="18">
      <c r="A1037" s="48">
        <v>1071</v>
      </c>
    </row>
    <row r="1038" spans="1:6" ht="18">
      <c r="A1038" s="48">
        <v>1072</v>
      </c>
    </row>
    <row r="1039" spans="1:6" ht="18">
      <c r="A1039" s="48">
        <v>1073</v>
      </c>
    </row>
    <row r="1040" spans="1:6" ht="18">
      <c r="A1040" s="48">
        <v>1074</v>
      </c>
    </row>
    <row r="1041" spans="1:1" ht="18">
      <c r="A1041" s="48">
        <v>1075</v>
      </c>
    </row>
    <row r="1042" spans="1:1" ht="18">
      <c r="A1042" s="48">
        <v>1076</v>
      </c>
    </row>
    <row r="1043" spans="1:1" ht="18">
      <c r="A1043" s="48">
        <v>1077</v>
      </c>
    </row>
    <row r="1044" spans="1:1" ht="18">
      <c r="A1044" s="48">
        <v>1078</v>
      </c>
    </row>
    <row r="1045" spans="1:1" ht="18">
      <c r="A1045" s="48">
        <v>1079</v>
      </c>
    </row>
    <row r="1046" spans="1:1" ht="18">
      <c r="A1046" s="48">
        <v>1080</v>
      </c>
    </row>
    <row r="1047" spans="1:1" ht="18">
      <c r="A1047" s="48">
        <v>1081</v>
      </c>
    </row>
    <row r="1048" spans="1:1" ht="18">
      <c r="A1048" s="48">
        <v>1082</v>
      </c>
    </row>
    <row r="1049" spans="1:1" ht="18">
      <c r="A1049" s="48">
        <v>1083</v>
      </c>
    </row>
    <row r="1050" spans="1:1" ht="18">
      <c r="A1050" s="48">
        <v>1084</v>
      </c>
    </row>
    <row r="1051" spans="1:1" ht="18">
      <c r="A1051" s="48">
        <v>1085</v>
      </c>
    </row>
    <row r="1052" spans="1:1" ht="18">
      <c r="A1052" s="48">
        <v>1086</v>
      </c>
    </row>
    <row r="1053" spans="1:1" ht="18">
      <c r="A1053" s="48">
        <v>1087</v>
      </c>
    </row>
    <row r="1054" spans="1:1" ht="18">
      <c r="A1054" s="48">
        <v>1088</v>
      </c>
    </row>
    <row r="1055" spans="1:1" ht="18">
      <c r="A1055" s="48">
        <v>1089</v>
      </c>
    </row>
    <row r="1056" spans="1:1" ht="18">
      <c r="A1056" s="48">
        <v>1090</v>
      </c>
    </row>
    <row r="1057" spans="1:1" ht="18">
      <c r="A1057" s="48">
        <v>1091</v>
      </c>
    </row>
    <row r="1058" spans="1:1" ht="18">
      <c r="A1058" s="48">
        <v>1092</v>
      </c>
    </row>
    <row r="1059" spans="1:1" ht="18">
      <c r="A1059" s="48">
        <v>1093</v>
      </c>
    </row>
    <row r="1060" spans="1:1" ht="18">
      <c r="A1060" s="48">
        <v>1094</v>
      </c>
    </row>
    <row r="1061" spans="1:1" ht="18">
      <c r="A1061" s="48">
        <v>1095</v>
      </c>
    </row>
    <row r="1062" spans="1:1" ht="18">
      <c r="A1062" s="48">
        <v>1096</v>
      </c>
    </row>
    <row r="1063" spans="1:1" ht="18">
      <c r="A1063" s="48">
        <v>1097</v>
      </c>
    </row>
    <row r="1064" spans="1:1" ht="18">
      <c r="A1064" s="48">
        <v>1098</v>
      </c>
    </row>
    <row r="1065" spans="1:1" ht="18">
      <c r="A1065" s="48">
        <v>1099</v>
      </c>
    </row>
    <row r="1066" spans="1:1" ht="18">
      <c r="A1066" s="48">
        <v>1100</v>
      </c>
    </row>
    <row r="1067" spans="1:1" ht="18">
      <c r="A1067" s="48">
        <v>1101</v>
      </c>
    </row>
    <row r="1068" spans="1:1" ht="18">
      <c r="A1068" s="48">
        <v>1102</v>
      </c>
    </row>
    <row r="1069" spans="1:1" ht="18">
      <c r="A1069" s="48">
        <v>1103</v>
      </c>
    </row>
    <row r="1070" spans="1:1" ht="18">
      <c r="A1070" s="48">
        <v>1104</v>
      </c>
    </row>
    <row r="1071" spans="1:1" ht="18">
      <c r="A1071" s="48">
        <v>1105</v>
      </c>
    </row>
    <row r="1072" spans="1:1" ht="18">
      <c r="A1072" s="48">
        <v>1106</v>
      </c>
    </row>
    <row r="1073" spans="1:1" ht="18">
      <c r="A1073" s="48">
        <v>1107</v>
      </c>
    </row>
    <row r="1074" spans="1:1" ht="18">
      <c r="A1074" s="48">
        <v>1108</v>
      </c>
    </row>
    <row r="1075" spans="1:1" ht="18">
      <c r="A1075" s="48">
        <v>1109</v>
      </c>
    </row>
    <row r="1076" spans="1:1" ht="18">
      <c r="A1076" s="48">
        <v>1110</v>
      </c>
    </row>
    <row r="1077" spans="1:1" ht="18">
      <c r="A1077" s="48">
        <v>1111</v>
      </c>
    </row>
    <row r="1078" spans="1:1" ht="18">
      <c r="A1078" s="48">
        <v>1112</v>
      </c>
    </row>
    <row r="1079" spans="1:1" ht="18">
      <c r="A1079" s="48">
        <v>1113</v>
      </c>
    </row>
    <row r="1080" spans="1:1" ht="18">
      <c r="A1080" s="48">
        <v>1114</v>
      </c>
    </row>
    <row r="1081" spans="1:1" ht="18">
      <c r="A1081" s="48">
        <v>1115</v>
      </c>
    </row>
    <row r="1082" spans="1:1" ht="18">
      <c r="A1082" s="48">
        <v>1116</v>
      </c>
    </row>
    <row r="1083" spans="1:1" ht="18">
      <c r="A1083" s="48">
        <v>1117</v>
      </c>
    </row>
  </sheetData>
  <autoFilter ref="B3:F1083" xr:uid="{00000000-0009-0000-0000-000000000000}"/>
  <mergeCells count="6">
    <mergeCell ref="G3:G231"/>
    <mergeCell ref="H10:I10"/>
    <mergeCell ref="H11:Q231"/>
    <mergeCell ref="H3:I3"/>
    <mergeCell ref="R1:V231"/>
    <mergeCell ref="J3:Q10"/>
  </mergeCells>
  <conditionalFormatting sqref="A1 A4:A1048576">
    <cfRule type="cellIs" dxfId="28" priority="1006" operator="equal">
      <formula>"..."</formula>
    </cfRule>
    <cfRule type="cellIs" dxfId="27" priority="1008" operator="equal">
      <formula>".."</formula>
    </cfRule>
    <cfRule type="cellIs" dxfId="26" priority="1009" operator="equal">
      <formula>"."</formula>
    </cfRule>
  </conditionalFormatting>
  <conditionalFormatting sqref="E3:E6 E8 E28:E62 E70:E84 E128:E302 E319:E1048576">
    <cfRule type="cellIs" dxfId="25" priority="80" operator="equal">
      <formula>"Critical"</formula>
    </cfRule>
  </conditionalFormatting>
  <conditionalFormatting sqref="F4:F6 F8:F1028">
    <cfRule type="containsText" dxfId="24" priority="32" operator="containsText" text="Hold">
      <formula>NOT(ISERROR(SEARCH("Hold",F4)))</formula>
    </cfRule>
    <cfRule type="containsText" dxfId="23" priority="33" operator="containsText" text="Escalation ">
      <formula>NOT(ISERROR(SEARCH("Escalation ",F4)))</formula>
    </cfRule>
    <cfRule type="containsText" dxfId="22" priority="34" operator="containsText" text="Completed">
      <formula>NOT(ISERROR(SEARCH("Completed",F4)))</formula>
    </cfRule>
    <cfRule type="containsText" dxfId="21" priority="35" operator="containsText" text="In Progress">
      <formula>NOT(ISERROR(SEARCH("In Progress",F4)))</formula>
    </cfRule>
    <cfRule type="containsText" dxfId="20" priority="36" operator="containsText" text="Pending">
      <formula>NOT(ISERROR(SEARCH("Pending",F4)))</formula>
    </cfRule>
    <cfRule type="containsText" dxfId="19" priority="37" operator="containsText" text="Hold">
      <formula>NOT(ISERROR(SEARCH("Hold",F4)))</formula>
    </cfRule>
  </conditionalFormatting>
  <conditionalFormatting sqref="H5">
    <cfRule type="containsText" dxfId="18" priority="740" operator="containsText" text="Hold">
      <formula>NOT(ISERROR(SEARCH("Hold",H5)))</formula>
    </cfRule>
    <cfRule type="containsText" dxfId="17" priority="741" operator="containsText" text="Escalation ">
      <formula>NOT(ISERROR(SEARCH("Escalation ",H5)))</formula>
    </cfRule>
    <cfRule type="containsText" dxfId="16" priority="742" operator="containsText" text="Completed">
      <formula>NOT(ISERROR(SEARCH("Completed",H5)))</formula>
    </cfRule>
    <cfRule type="containsText" dxfId="15" priority="743" operator="containsText" text="In Progress">
      <formula>NOT(ISERROR(SEARCH("In Progress",H5)))</formula>
    </cfRule>
    <cfRule type="containsText" dxfId="14" priority="744" operator="containsText" text="Pending">
      <formula>NOT(ISERROR(SEARCH("Pending",H5)))</formula>
    </cfRule>
    <cfRule type="containsText" dxfId="13" priority="745" operator="containsText" text="Hold">
      <formula>NOT(ISERROR(SEARCH("Hold",H5)))</formula>
    </cfRule>
  </conditionalFormatting>
  <conditionalFormatting sqref="E7">
    <cfRule type="cellIs" dxfId="12" priority="9" operator="equal">
      <formula>"Critical"</formula>
    </cfRule>
  </conditionalFormatting>
  <conditionalFormatting sqref="F7">
    <cfRule type="containsText" dxfId="11" priority="1" operator="containsText" text="Hold">
      <formula>NOT(ISERROR(SEARCH("Hold",F7)))</formula>
    </cfRule>
    <cfRule type="containsText" dxfId="10" priority="2" operator="containsText" text="Escalation ">
      <formula>NOT(ISERROR(SEARCH("Escalation ",F7)))</formula>
    </cfRule>
    <cfRule type="containsText" dxfId="9" priority="3" operator="containsText" text="Completed">
      <formula>NOT(ISERROR(SEARCH("Completed",F7)))</formula>
    </cfRule>
    <cfRule type="containsText" dxfId="8" priority="4" operator="containsText" text="In Progress">
      <formula>NOT(ISERROR(SEARCH("In Progress",F7)))</formula>
    </cfRule>
    <cfRule type="containsText" dxfId="7" priority="5" operator="containsText" text="Pending">
      <formula>NOT(ISERROR(SEARCH("Pending",F7)))</formula>
    </cfRule>
    <cfRule type="containsText" dxfId="6" priority="6" operator="containsText" text="Hold">
      <formula>NOT(ISERROR(SEARCH("Hold",F7)))</formula>
    </cfRule>
  </conditionalFormatting>
  <dataValidations count="1">
    <dataValidation type="list" allowBlank="1" showInputMessage="1" showErrorMessage="1" sqref="F4:F8 F28:F62 F84 F128:F302 F426:F664 F733:F1028" xr:uid="{00000000-0002-0000-0000-000000000000}">
      <formula1>$H$4:$H$8</formula1>
    </dataValidation>
  </dataValidations>
  <pageMargins left="0.7" right="0.7" top="0.75" bottom="0.75" header="0.3" footer="0.3"/>
  <pageSetup paperSize="9" scale="56" orientation="landscape" horizontalDpi="200" verticalDpi="200" r:id="rId1"/>
  <colBreaks count="1" manualBreakCount="1">
    <brk id="15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8" operator="containsText" id="{D0418973-4ADF-44A5-94EF-8A41BE45BB94}">
            <xm:f>NOT(ISERROR(SEARCH($H$5,F4)))</xm:f>
            <xm:f>$H$5</xm:f>
            <x14:dxf>
              <fill>
                <patternFill>
                  <bgColor rgb="FFFFC000"/>
                </patternFill>
              </fill>
            </x14:dxf>
          </x14:cfRule>
          <x14:cfRule type="containsText" priority="39" operator="containsText" id="{DB2F22DD-5346-4CCC-9BCC-34B117C53F43}">
            <xm:f>NOT(ISERROR(SEARCH($H$6,F4)))</xm:f>
            <xm:f>$H$6</xm:f>
            <x14:dxf>
              <fill>
                <patternFill>
                  <bgColor theme="9"/>
                </patternFill>
              </fill>
            </x14:dxf>
          </x14:cfRule>
          <xm:sqref>F4:F6 F8:F1028</xm:sqref>
        </x14:conditionalFormatting>
        <x14:conditionalFormatting xmlns:xm="http://schemas.microsoft.com/office/excel/2006/main">
          <x14:cfRule type="containsText" priority="746" operator="containsText" id="{C22DCB74-FB00-457C-B50B-E32B39FF8677}">
            <xm:f>NOT(ISERROR(SEARCH($H$5,H5)))</xm:f>
            <xm:f>$H$5</xm:f>
            <x14:dxf>
              <fill>
                <patternFill>
                  <bgColor rgb="FFFFC000"/>
                </patternFill>
              </fill>
            </x14:dxf>
          </x14:cfRule>
          <x14:cfRule type="containsText" priority="747" operator="containsText" id="{82873DF4-3F41-491E-B345-599764B1724B}">
            <xm:f>NOT(ISERROR(SEARCH($H$6,H5)))</xm:f>
            <xm:f>$H$6</xm:f>
            <x14:dxf>
              <fill>
                <patternFill>
                  <bgColor theme="9"/>
                </patternFill>
              </fill>
            </x14:dxf>
          </x14:cfRule>
          <xm:sqref>H5</xm:sqref>
        </x14:conditionalFormatting>
        <x14:conditionalFormatting xmlns:xm="http://schemas.microsoft.com/office/excel/2006/main">
          <x14:cfRule type="containsText" priority="7" operator="containsText" id="{E0865EAF-AF98-45B8-86A1-736DC2391EE8}">
            <xm:f>NOT(ISERROR(SEARCH($H$5,F7)))</xm:f>
            <xm:f>$H$5</xm:f>
            <x14:dxf>
              <fill>
                <patternFill>
                  <bgColor rgb="FFFFC000"/>
                </patternFill>
              </fill>
            </x14:dxf>
          </x14:cfRule>
          <x14:cfRule type="containsText" priority="8" operator="containsText" id="{7F13CA2A-57AA-4C1A-8B00-DD413BCBB745}">
            <xm:f>NOT(ISERROR(SEARCH($H$6,F7)))</xm:f>
            <xm:f>$H$6</xm:f>
            <x14:dxf>
              <fill>
                <patternFill>
                  <bgColor theme="9"/>
                </patternFill>
              </fill>
            </x14:dxf>
          </x14:cfRule>
          <xm:sqref>F7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1000000}">
          <x14:formula1>
            <xm:f>Summery!$F$2:$F$38</xm:f>
          </x14:formula1>
          <xm:sqref>E4:E6 E8 E28:E62 E70:E84 E128:E302 E722:E1028 E403:E664</xm:sqref>
        </x14:dataValidation>
        <x14:dataValidation type="list" operator="greaterThan" allowBlank="1" showInputMessage="1" showErrorMessage="1" xr:uid="{00000000-0002-0000-0000-000002000000}">
          <x14:formula1>
            <xm:f>Summery!$H$2:$H$5</xm:f>
          </x14:formula1>
          <xm:sqref>C4:C6 C8 C28:C62 C70:C94 C128:C302 C335:C664 C722:C1028</xm:sqref>
        </x14:dataValidation>
        <x14:dataValidation type="list" allowBlank="1" showInputMessage="1" showErrorMessage="1" xr:uid="{00000000-0002-0000-0000-000003000000}">
          <x14:formula1>
            <xm:f>Summery!$E$2:$E$13</xm:f>
          </x14:formula1>
          <xm:sqref>D4:D6 D8 D28:D62 D70:D84 D128:D302 D335:D664 D722:D1028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M43"/>
  <sheetViews>
    <sheetView zoomScale="70" zoomScaleNormal="70" workbookViewId="0">
      <selection activeCell="K13" sqref="K13"/>
    </sheetView>
  </sheetViews>
  <sheetFormatPr defaultColWidth="9.28515625" defaultRowHeight="14.45"/>
  <cols>
    <col min="1" max="1" width="39.28515625" style="2" customWidth="1"/>
    <col min="2" max="2" width="23.42578125" style="2" customWidth="1"/>
    <col min="4" max="4" width="9.28515625" style="2"/>
    <col min="5" max="5" width="19.85546875" style="2" customWidth="1"/>
    <col min="6" max="6" width="39.42578125" style="2" bestFit="1" customWidth="1"/>
    <col min="7" max="7" width="9.28515625" style="2"/>
    <col min="8" max="8" width="16.7109375" style="2" customWidth="1"/>
    <col min="9" max="9" width="9.28515625" style="2"/>
    <col min="10" max="10" width="26.7109375" style="2" bestFit="1" customWidth="1"/>
    <col min="11" max="11" width="12.7109375" style="2" bestFit="1" customWidth="1"/>
    <col min="12" max="12" width="36.42578125" style="2" bestFit="1" customWidth="1"/>
    <col min="13" max="13" width="16.28515625" style="2" customWidth="1"/>
    <col min="14" max="16384" width="9.28515625" style="2"/>
  </cols>
  <sheetData>
    <row r="1" spans="1:13" ht="21">
      <c r="A1" s="8" t="s">
        <v>796</v>
      </c>
      <c r="B1" s="7" t="s">
        <v>797</v>
      </c>
      <c r="C1" s="85"/>
      <c r="D1" s="86"/>
      <c r="E1" s="8" t="s">
        <v>798</v>
      </c>
      <c r="F1" s="7" t="s">
        <v>799</v>
      </c>
      <c r="G1" s="87"/>
      <c r="H1" s="7" t="s">
        <v>800</v>
      </c>
      <c r="I1" s="84"/>
    </row>
    <row r="2" spans="1:13" ht="22.9">
      <c r="A2" s="30" t="str">
        <f>E2</f>
        <v>Sultan</v>
      </c>
      <c r="B2" s="3">
        <f>COUNTIF(Aug!D4:D815,"Sultan")</f>
        <v>0</v>
      </c>
      <c r="C2" s="85"/>
      <c r="D2" s="86"/>
      <c r="E2" s="29" t="s">
        <v>801</v>
      </c>
      <c r="F2" s="32" t="s">
        <v>802</v>
      </c>
      <c r="G2" s="87"/>
      <c r="H2" s="31" t="s">
        <v>8</v>
      </c>
      <c r="I2" s="84"/>
    </row>
    <row r="3" spans="1:13" ht="22.9">
      <c r="A3" s="30" t="str">
        <f t="shared" ref="A3:A8" si="0">E3</f>
        <v>Abeer</v>
      </c>
      <c r="B3" s="3">
        <f>COUNTIF(Aug!D4:D815,"Abeer")</f>
        <v>0</v>
      </c>
      <c r="C3" s="85"/>
      <c r="D3" s="86"/>
      <c r="E3" s="29" t="s">
        <v>803</v>
      </c>
      <c r="F3" s="32" t="s">
        <v>804</v>
      </c>
      <c r="G3" s="87"/>
      <c r="H3" s="31" t="s">
        <v>85</v>
      </c>
      <c r="I3" s="84"/>
    </row>
    <row r="4" spans="1:13" ht="22.9">
      <c r="A4" s="30" t="str">
        <f t="shared" si="0"/>
        <v>M. Shahrani</v>
      </c>
      <c r="B4" s="3">
        <f>COUNTIF(Aug!D4:D815,"M. Shahrani")</f>
        <v>150</v>
      </c>
      <c r="C4" s="85"/>
      <c r="D4" s="86"/>
      <c r="E4" s="29" t="s">
        <v>416</v>
      </c>
      <c r="F4" s="32" t="s">
        <v>30</v>
      </c>
      <c r="G4" s="87"/>
      <c r="H4" s="31" t="s">
        <v>119</v>
      </c>
      <c r="I4" s="84"/>
    </row>
    <row r="5" spans="1:13" ht="22.9">
      <c r="A5" s="30" t="str">
        <f>E5</f>
        <v>Wed</v>
      </c>
      <c r="B5" s="3">
        <f>COUNTIF(Aug!D4:D815,"Wed")</f>
        <v>68</v>
      </c>
      <c r="C5" s="85"/>
      <c r="D5" s="86"/>
      <c r="E5" s="29" t="s">
        <v>21</v>
      </c>
      <c r="F5" s="32" t="s">
        <v>805</v>
      </c>
      <c r="G5" s="87"/>
      <c r="H5" s="31" t="s">
        <v>157</v>
      </c>
      <c r="I5" s="84"/>
    </row>
    <row r="6" spans="1:13" ht="22.9">
      <c r="A6" s="30" t="str">
        <f>E6</f>
        <v>S.Dossari</v>
      </c>
      <c r="B6" s="3">
        <f>COUNTIF(Aug!D4:D815,"S.Dossari")</f>
        <v>63</v>
      </c>
      <c r="C6" s="85"/>
      <c r="D6" s="86"/>
      <c r="E6" s="29" t="s">
        <v>595</v>
      </c>
      <c r="F6" s="32" t="s">
        <v>806</v>
      </c>
      <c r="G6" s="75"/>
      <c r="H6" s="75"/>
      <c r="I6" s="75"/>
      <c r="J6" s="7" t="s">
        <v>807</v>
      </c>
      <c r="K6" s="36" t="s">
        <v>808</v>
      </c>
      <c r="L6" s="7" t="s">
        <v>807</v>
      </c>
      <c r="M6" s="36" t="s">
        <v>808</v>
      </c>
    </row>
    <row r="7" spans="1:13" ht="22.9">
      <c r="A7" s="30" t="str">
        <f>E7</f>
        <v>Abdullah</v>
      </c>
      <c r="B7" s="3">
        <f>COUNTIF(Aug!D4:D815,"Abdullah")</f>
        <v>57</v>
      </c>
      <c r="C7" s="85"/>
      <c r="D7" s="86"/>
      <c r="E7" s="29" t="s">
        <v>659</v>
      </c>
      <c r="F7" s="32" t="s">
        <v>22</v>
      </c>
      <c r="G7" s="75"/>
      <c r="H7" s="75"/>
      <c r="I7" s="75"/>
      <c r="J7" s="37" t="s">
        <v>802</v>
      </c>
      <c r="K7" s="38">
        <f>COUNTIF(Aug!E4:E805,"FCR")</f>
        <v>0</v>
      </c>
      <c r="L7" s="39" t="s">
        <v>809</v>
      </c>
      <c r="M7" s="38">
        <f>COUNTIF(Aug!E4:E805,"Sec Control Modifications")</f>
        <v>0</v>
      </c>
    </row>
    <row r="8" spans="1:13" ht="22.9">
      <c r="A8" s="30" t="str">
        <f t="shared" si="0"/>
        <v>Milaf</v>
      </c>
      <c r="B8" s="3">
        <f>COUNTIF(Aug!D4:D960,"Milaf")</f>
        <v>228</v>
      </c>
      <c r="C8" s="85"/>
      <c r="D8" s="86"/>
      <c r="E8" s="29" t="s">
        <v>732</v>
      </c>
      <c r="F8" s="32" t="s">
        <v>712</v>
      </c>
      <c r="G8" s="75"/>
      <c r="H8" s="75"/>
      <c r="I8" s="75"/>
      <c r="J8" s="37" t="s">
        <v>804</v>
      </c>
      <c r="K8" s="38">
        <f>COUNTIF(Aug!E4:E805,"VPN")</f>
        <v>0</v>
      </c>
      <c r="L8" s="39" t="s">
        <v>687</v>
      </c>
      <c r="M8" s="38">
        <f>COUNTIF(Aug!E4:E805,"Architect Review")</f>
        <v>0</v>
      </c>
    </row>
    <row r="9" spans="1:13" ht="20.45" customHeight="1">
      <c r="A9" s="30" t="str">
        <f>E9</f>
        <v>M.Aqily</v>
      </c>
      <c r="B9" s="3">
        <f>COUNTIF(Aug!D4:D815,"M.Aqily")</f>
        <v>25</v>
      </c>
      <c r="C9" s="85"/>
      <c r="D9" s="86"/>
      <c r="E9" s="29" t="s">
        <v>48</v>
      </c>
      <c r="F9" s="32" t="s">
        <v>666</v>
      </c>
      <c r="G9" s="75"/>
      <c r="H9" s="75"/>
      <c r="I9" s="75"/>
      <c r="J9" s="37" t="s">
        <v>30</v>
      </c>
      <c r="K9" s="38">
        <f>COUNTIF(Aug!E4:E960,"SOC Alerts")</f>
        <v>172</v>
      </c>
      <c r="L9" s="39" t="s">
        <v>80</v>
      </c>
      <c r="M9" s="38">
        <f>COUNTIF(Aug!E4:E805,"Review Cyber Control")</f>
        <v>1</v>
      </c>
    </row>
    <row r="10" spans="1:13" ht="22.9">
      <c r="A10" s="30" t="str">
        <f>E10</f>
        <v>Ghaida</v>
      </c>
      <c r="B10" s="3">
        <f>COUNTIF(Aug!D4:D815,"Ghaida")</f>
        <v>166</v>
      </c>
      <c r="C10" s="2"/>
      <c r="E10" s="29" t="s">
        <v>178</v>
      </c>
      <c r="F10" s="32" t="s">
        <v>669</v>
      </c>
      <c r="G10" s="75"/>
      <c r="H10" s="75"/>
      <c r="I10" s="75"/>
      <c r="J10" s="37" t="s">
        <v>805</v>
      </c>
      <c r="K10" s="38">
        <f>COUNTIF(Aug!E4:E805,"USB / CD")</f>
        <v>0</v>
      </c>
      <c r="L10" s="39" t="s">
        <v>810</v>
      </c>
      <c r="M10" s="38">
        <f>COUNTIF(Aug!E4:E805,"Sec Comparison")</f>
        <v>0</v>
      </c>
    </row>
    <row r="11" spans="1:13" ht="22.9">
      <c r="A11" s="30" t="str">
        <f>E11</f>
        <v>Amani</v>
      </c>
      <c r="B11" s="3">
        <f>COUNTIF(Aug!D4:D815,"Amani")</f>
        <v>8</v>
      </c>
      <c r="C11" s="2"/>
      <c r="E11" s="29" t="s">
        <v>9</v>
      </c>
      <c r="F11" s="32" t="s">
        <v>179</v>
      </c>
      <c r="G11" s="75"/>
      <c r="H11" s="75"/>
      <c r="I11" s="75"/>
      <c r="J11" s="37" t="s">
        <v>806</v>
      </c>
      <c r="K11" s="38">
        <f>COUNTIF(Aug!E4:E805,"URL Filtering")</f>
        <v>0</v>
      </c>
      <c r="L11" s="39" t="s">
        <v>762</v>
      </c>
      <c r="M11" s="38">
        <f>COUNTIF(Aug!E4:E805,"Health Check")</f>
        <v>1</v>
      </c>
    </row>
    <row r="12" spans="1:13" ht="22.9">
      <c r="A12" s="30" t="str">
        <f>E12</f>
        <v>Menwer</v>
      </c>
      <c r="B12" s="3">
        <f>COUNTIF(Aug!D4:D815,"Menwer")</f>
        <v>91</v>
      </c>
      <c r="C12" s="2"/>
      <c r="E12" s="29" t="s">
        <v>327</v>
      </c>
      <c r="F12" s="32" t="s">
        <v>173</v>
      </c>
      <c r="G12" s="75"/>
      <c r="H12" s="75"/>
      <c r="I12" s="75"/>
      <c r="J12" s="37" t="s">
        <v>22</v>
      </c>
      <c r="K12" s="38">
        <f>COUNTIF(Aug!E4:E960,"IoCs")</f>
        <v>109</v>
      </c>
      <c r="L12" s="39" t="s">
        <v>811</v>
      </c>
      <c r="M12" s="38">
        <f>COUNTIF(Aug!E4:E805,"New HLD")</f>
        <v>0</v>
      </c>
    </row>
    <row r="13" spans="1:13" ht="22.9">
      <c r="A13" s="30" t="str">
        <f>E13</f>
        <v>A.Driwesh</v>
      </c>
      <c r="B13" s="3">
        <f>COUNTIF(Aug!D4:D815,"A.Driwesh")</f>
        <v>101</v>
      </c>
      <c r="C13" s="2"/>
      <c r="E13" s="29" t="s">
        <v>25</v>
      </c>
      <c r="F13" s="32" t="s">
        <v>17</v>
      </c>
      <c r="G13" s="75"/>
      <c r="H13" s="75"/>
      <c r="I13" s="75"/>
      <c r="J13" s="37" t="s">
        <v>712</v>
      </c>
      <c r="K13" s="38">
        <f>COUNTIF(Aug!E4:E805,"CTI Feeds")</f>
        <v>2</v>
      </c>
      <c r="L13" s="39" t="s">
        <v>812</v>
      </c>
      <c r="M13" s="38">
        <f>COUNTIF(Aug!E4:E805,"New LLD")</f>
        <v>0</v>
      </c>
    </row>
    <row r="14" spans="1:13" ht="21">
      <c r="A14" s="8" t="s">
        <v>813</v>
      </c>
      <c r="B14" s="9">
        <f>SUM(B2:B13)</f>
        <v>957</v>
      </c>
      <c r="C14" s="2"/>
      <c r="F14" s="32" t="s">
        <v>144</v>
      </c>
      <c r="G14" s="75"/>
      <c r="H14" s="75"/>
      <c r="I14" s="75"/>
      <c r="J14" s="37" t="s">
        <v>666</v>
      </c>
      <c r="K14" s="38">
        <f>COUNTIF(Aug!E4:E805,"Threat Analisys")</f>
        <v>3</v>
      </c>
      <c r="L14" s="39" t="s">
        <v>814</v>
      </c>
      <c r="M14" s="38">
        <f>COUNTIF(Aug!E4:E805,"GAP Analisys")</f>
        <v>0</v>
      </c>
    </row>
    <row r="15" spans="1:13" ht="20.45">
      <c r="A15" s="75"/>
      <c r="B15" s="75"/>
      <c r="C15" s="75"/>
      <c r="D15" s="75"/>
      <c r="E15" s="88"/>
      <c r="F15" s="32" t="s">
        <v>188</v>
      </c>
      <c r="G15" s="75"/>
      <c r="H15" s="75"/>
      <c r="I15" s="75"/>
      <c r="J15" s="37" t="s">
        <v>669</v>
      </c>
      <c r="K15" s="38">
        <f>COUNTIF(Aug!E4:E805,"Vulnurabilites")</f>
        <v>2</v>
      </c>
      <c r="L15" s="39" t="s">
        <v>660</v>
      </c>
      <c r="M15" s="38">
        <f>COUNTIF(Aug!E4:E805,"RFP")</f>
        <v>2</v>
      </c>
    </row>
    <row r="16" spans="1:13" ht="20.45">
      <c r="A16" s="75"/>
      <c r="B16" s="75"/>
      <c r="C16" s="75"/>
      <c r="D16" s="75"/>
      <c r="E16" s="88"/>
      <c r="F16" s="32" t="s">
        <v>14</v>
      </c>
      <c r="G16" s="75"/>
      <c r="H16" s="75"/>
      <c r="I16" s="75"/>
      <c r="J16" s="37" t="s">
        <v>179</v>
      </c>
      <c r="K16" s="38">
        <f>COUNTIF(Aug!E4:E805,"Sec Support")</f>
        <v>90</v>
      </c>
      <c r="L16" s="39" t="s">
        <v>815</v>
      </c>
      <c r="M16" s="38">
        <f>COUNTIF(Aug!E4:E805,"CAB")</f>
        <v>0</v>
      </c>
    </row>
    <row r="17" spans="1:13" ht="20.45">
      <c r="A17" s="75"/>
      <c r="B17" s="75"/>
      <c r="C17" s="75"/>
      <c r="D17" s="75"/>
      <c r="E17" s="88"/>
      <c r="F17" s="32" t="s">
        <v>10</v>
      </c>
      <c r="G17" s="75"/>
      <c r="H17" s="75"/>
      <c r="I17" s="75"/>
      <c r="J17" s="37" t="s">
        <v>173</v>
      </c>
      <c r="K17" s="38">
        <f>COUNTIF(Aug!E4:E805,"Ticket")</f>
        <v>12</v>
      </c>
      <c r="L17" s="39" t="s">
        <v>471</v>
      </c>
      <c r="M17" s="38">
        <f>COUNTIF(Aug!E4:E805,"Projects")</f>
        <v>3</v>
      </c>
    </row>
    <row r="18" spans="1:13" ht="20.45">
      <c r="A18" s="75"/>
      <c r="B18" s="75"/>
      <c r="C18" s="75"/>
      <c r="D18" s="75"/>
      <c r="E18" s="88"/>
      <c r="F18" s="32" t="s">
        <v>91</v>
      </c>
      <c r="G18" s="75"/>
      <c r="H18" s="75"/>
      <c r="I18" s="75"/>
      <c r="J18" s="37" t="s">
        <v>17</v>
      </c>
      <c r="K18" s="38">
        <f>COUNTIF(Aug!E4:E805,"Technical Meeting")</f>
        <v>38</v>
      </c>
      <c r="L18" s="39" t="s">
        <v>38</v>
      </c>
      <c r="M18" s="38">
        <f>COUNTIF(Aug!E4:E805,"Reporting")</f>
        <v>4</v>
      </c>
    </row>
    <row r="19" spans="1:13" ht="20.45">
      <c r="A19" s="75"/>
      <c r="B19" s="75"/>
      <c r="C19" s="75"/>
      <c r="D19" s="75"/>
      <c r="E19" s="88"/>
      <c r="F19" s="32" t="s">
        <v>816</v>
      </c>
      <c r="G19" s="75"/>
      <c r="H19" s="75"/>
      <c r="I19" s="75"/>
      <c r="J19" s="37" t="s">
        <v>144</v>
      </c>
      <c r="K19" s="38">
        <f>COUNTIF(Aug!E4:E960,"Sec Investigations")</f>
        <v>209</v>
      </c>
      <c r="L19" s="39" t="s">
        <v>794</v>
      </c>
      <c r="M19" s="38">
        <f>COUNTIF(Aug!E4:E805,"Compliance")</f>
        <v>0</v>
      </c>
    </row>
    <row r="20" spans="1:13" ht="20.45">
      <c r="A20" s="75"/>
      <c r="B20" s="75"/>
      <c r="C20" s="75"/>
      <c r="D20" s="75"/>
      <c r="E20" s="88"/>
      <c r="F20" s="32" t="s">
        <v>422</v>
      </c>
      <c r="G20" s="75"/>
      <c r="H20" s="75"/>
      <c r="I20" s="75"/>
      <c r="J20" s="37" t="s">
        <v>188</v>
      </c>
      <c r="K20" s="38">
        <f>COUNTIF(Aug!E4:E805,"Sec Policy Changes")</f>
        <v>15</v>
      </c>
      <c r="L20" s="39" t="s">
        <v>480</v>
      </c>
      <c r="M20" s="38">
        <f>COUNTIF(Aug!E4:E805,"CR")</f>
        <v>1</v>
      </c>
    </row>
    <row r="21" spans="1:13" ht="20.45">
      <c r="A21" s="75"/>
      <c r="B21" s="75"/>
      <c r="C21" s="75"/>
      <c r="D21" s="75"/>
      <c r="E21" s="88"/>
      <c r="F21" s="32" t="s">
        <v>809</v>
      </c>
      <c r="G21" s="75"/>
      <c r="H21" s="75"/>
      <c r="I21" s="75"/>
      <c r="J21" s="37" t="s">
        <v>14</v>
      </c>
      <c r="K21" s="38">
        <f>COUNTIF(Aug!E4:E960,"Sec Selution Administration ")</f>
        <v>207</v>
      </c>
      <c r="L21" s="39" t="s">
        <v>817</v>
      </c>
      <c r="M21" s="38">
        <f>COUNTIF(Aug!E4:E890677,"BRD")</f>
        <v>0</v>
      </c>
    </row>
    <row r="22" spans="1:13" ht="20.45">
      <c r="A22" s="75"/>
      <c r="B22" s="75"/>
      <c r="C22" s="75"/>
      <c r="D22" s="75"/>
      <c r="E22" s="88"/>
      <c r="F22" s="32" t="s">
        <v>687</v>
      </c>
      <c r="G22" s="75"/>
      <c r="H22" s="75"/>
      <c r="I22" s="75"/>
      <c r="J22" s="37" t="s">
        <v>10</v>
      </c>
      <c r="K22" s="38">
        <f>COUNTIF(Aug!E4:E960,"Sec Troubleshooting")</f>
        <v>36</v>
      </c>
      <c r="L22" s="39" t="s">
        <v>818</v>
      </c>
      <c r="M22" s="38">
        <f>COUNTIF(Aug!E4:E805,"Encrypted FLASH")</f>
        <v>0</v>
      </c>
    </row>
    <row r="23" spans="1:13" ht="20.45">
      <c r="A23" s="75"/>
      <c r="B23" s="75"/>
      <c r="C23" s="75"/>
      <c r="D23" s="75"/>
      <c r="E23" s="88"/>
      <c r="F23" s="32" t="s">
        <v>80</v>
      </c>
      <c r="G23" s="75"/>
      <c r="H23" s="75"/>
      <c r="I23" s="75"/>
      <c r="J23" s="37" t="s">
        <v>91</v>
      </c>
      <c r="K23" s="38">
        <f>COUNTIF(Aug!E4:E805,"Sec Implemnt")</f>
        <v>16</v>
      </c>
      <c r="L23" s="39" t="s">
        <v>104</v>
      </c>
      <c r="M23" s="38">
        <f>COUNTIF(Aug!E4:E960,"HASEEN")</f>
        <v>19</v>
      </c>
    </row>
    <row r="24" spans="1:13" ht="20.45">
      <c r="A24" s="75"/>
      <c r="B24" s="75"/>
      <c r="C24" s="75"/>
      <c r="D24" s="75"/>
      <c r="E24" s="88"/>
      <c r="F24" s="32" t="s">
        <v>810</v>
      </c>
      <c r="G24" s="75"/>
      <c r="H24" s="75"/>
      <c r="I24" s="75"/>
      <c r="J24" s="37" t="s">
        <v>816</v>
      </c>
      <c r="K24" s="38">
        <f>COUNTIF(Aug!E4:E805,"Cyber Infra")</f>
        <v>0</v>
      </c>
      <c r="L24" s="39" t="s">
        <v>573</v>
      </c>
      <c r="M24" s="38">
        <f>COUNTIF(Aug!E4:E805,"OTHER")</f>
        <v>7</v>
      </c>
    </row>
    <row r="25" spans="1:13" ht="20.45">
      <c r="A25" s="75"/>
      <c r="B25" s="75"/>
      <c r="C25" s="75"/>
      <c r="D25" s="75"/>
      <c r="E25" s="88"/>
      <c r="F25" s="32" t="s">
        <v>762</v>
      </c>
      <c r="G25" s="75"/>
      <c r="H25" s="75"/>
      <c r="I25" s="75"/>
      <c r="J25" s="37" t="s">
        <v>422</v>
      </c>
      <c r="K25" s="38">
        <f>COUNTIF(Aug!E4:E805,"IT Infra Review")</f>
        <v>1</v>
      </c>
    </row>
    <row r="26" spans="1:13" ht="20.45">
      <c r="A26" s="75"/>
      <c r="B26" s="75"/>
      <c r="C26" s="75"/>
      <c r="D26" s="75"/>
      <c r="E26" s="88"/>
      <c r="F26" s="32" t="s">
        <v>811</v>
      </c>
      <c r="G26" s="75"/>
      <c r="H26" s="75"/>
      <c r="I26" s="75"/>
    </row>
    <row r="27" spans="1:13" ht="20.45">
      <c r="A27" s="75"/>
      <c r="B27" s="75"/>
      <c r="C27" s="75"/>
      <c r="D27" s="75"/>
      <c r="E27" s="88"/>
      <c r="F27" s="32" t="s">
        <v>812</v>
      </c>
      <c r="G27" s="75"/>
      <c r="H27" s="75"/>
      <c r="I27" s="75"/>
    </row>
    <row r="28" spans="1:13" ht="20.45">
      <c r="A28" s="75"/>
      <c r="B28" s="75"/>
      <c r="C28" s="75"/>
      <c r="D28" s="75"/>
      <c r="E28" s="88"/>
      <c r="F28" s="32" t="s">
        <v>814</v>
      </c>
      <c r="G28" s="75"/>
      <c r="H28" s="75"/>
      <c r="I28" s="75"/>
      <c r="J28" s="37" t="s">
        <v>819</v>
      </c>
    </row>
    <row r="29" spans="1:13" ht="20.45">
      <c r="A29" s="75"/>
      <c r="B29" s="75"/>
      <c r="C29" s="75"/>
      <c r="D29" s="75"/>
      <c r="E29" s="88"/>
      <c r="F29" s="32" t="s">
        <v>660</v>
      </c>
      <c r="G29" s="75"/>
      <c r="H29" s="75"/>
      <c r="I29" s="75"/>
      <c r="J29" s="40" t="s">
        <v>815</v>
      </c>
      <c r="K29" s="41"/>
    </row>
    <row r="30" spans="1:13" ht="20.45">
      <c r="A30" s="75"/>
      <c r="B30" s="75"/>
      <c r="C30" s="75"/>
      <c r="D30" s="75"/>
      <c r="E30" s="88"/>
      <c r="F30" s="32" t="s">
        <v>815</v>
      </c>
      <c r="G30" s="75"/>
      <c r="H30" s="75"/>
      <c r="I30" s="75"/>
      <c r="J30" s="40" t="s">
        <v>820</v>
      </c>
      <c r="K30" s="41"/>
    </row>
    <row r="31" spans="1:13" ht="20.45">
      <c r="A31" s="75"/>
      <c r="B31" s="75"/>
      <c r="C31" s="75"/>
      <c r="D31" s="75"/>
      <c r="E31" s="88"/>
      <c r="F31" s="32" t="s">
        <v>471</v>
      </c>
      <c r="G31" s="75"/>
      <c r="H31" s="75"/>
      <c r="I31" s="75"/>
      <c r="J31" s="40" t="s">
        <v>173</v>
      </c>
      <c r="K31" s="41"/>
    </row>
    <row r="32" spans="1:13" ht="20.45">
      <c r="A32" s="75"/>
      <c r="B32" s="75"/>
      <c r="C32" s="75"/>
      <c r="D32" s="75"/>
      <c r="E32" s="88"/>
      <c r="F32" s="32" t="s">
        <v>38</v>
      </c>
      <c r="G32" s="75"/>
      <c r="H32" s="75"/>
      <c r="I32" s="75"/>
      <c r="J32" s="40" t="s">
        <v>821</v>
      </c>
      <c r="K32" s="41"/>
      <c r="L32" s="37" t="s">
        <v>822</v>
      </c>
    </row>
    <row r="33" spans="1:13" ht="20.45">
      <c r="A33" s="75"/>
      <c r="B33" s="75"/>
      <c r="C33" s="75"/>
      <c r="D33" s="75"/>
      <c r="E33" s="88"/>
      <c r="F33" s="32" t="s">
        <v>794</v>
      </c>
      <c r="G33" s="75"/>
      <c r="H33" s="75"/>
      <c r="I33" s="75"/>
      <c r="J33" s="43" t="s">
        <v>823</v>
      </c>
      <c r="K33" s="41"/>
      <c r="L33" s="42"/>
    </row>
    <row r="34" spans="1:13" ht="20.45">
      <c r="C34" s="2"/>
      <c r="F34" s="32" t="s">
        <v>480</v>
      </c>
      <c r="G34" s="75"/>
      <c r="H34" s="75"/>
      <c r="I34" s="75"/>
      <c r="J34" s="43" t="s">
        <v>824</v>
      </c>
      <c r="K34" s="41"/>
      <c r="L34" s="41"/>
      <c r="M34" s="37"/>
    </row>
    <row r="35" spans="1:13" ht="20.45">
      <c r="C35" s="2"/>
      <c r="F35" s="32" t="s">
        <v>817</v>
      </c>
      <c r="G35" s="75"/>
      <c r="H35" s="75"/>
      <c r="I35" s="75"/>
      <c r="J35" s="43" t="s">
        <v>825</v>
      </c>
      <c r="K35" s="41"/>
      <c r="L35" s="41"/>
      <c r="M35" s="37"/>
    </row>
    <row r="36" spans="1:13" ht="20.45">
      <c r="C36" s="2"/>
      <c r="F36" s="32" t="s">
        <v>818</v>
      </c>
      <c r="G36" s="75"/>
      <c r="H36" s="75"/>
      <c r="I36" s="75"/>
      <c r="K36" s="42"/>
      <c r="L36" s="41"/>
      <c r="M36" s="37"/>
    </row>
    <row r="37" spans="1:13" ht="20.45">
      <c r="C37" s="2"/>
      <c r="F37" s="32" t="s">
        <v>104</v>
      </c>
      <c r="G37" s="75"/>
      <c r="H37" s="75"/>
      <c r="I37" s="75"/>
      <c r="J37" s="37" t="s">
        <v>826</v>
      </c>
      <c r="K37" s="82">
        <f>SUM(K36,L33)</f>
        <v>0</v>
      </c>
      <c r="L37" s="83"/>
    </row>
    <row r="38" spans="1:13" ht="20.45">
      <c r="C38" s="2"/>
      <c r="F38" s="32" t="s">
        <v>573</v>
      </c>
      <c r="G38" s="75"/>
      <c r="H38" s="75"/>
      <c r="I38" s="75"/>
    </row>
    <row r="39" spans="1:13" ht="14.45" customHeight="1">
      <c r="C39" s="2"/>
      <c r="F39" s="74"/>
      <c r="G39" s="75"/>
      <c r="H39" s="75"/>
      <c r="I39" s="75"/>
    </row>
    <row r="40" spans="1:13" ht="14.45" customHeight="1">
      <c r="C40" s="2"/>
      <c r="F40" s="75"/>
      <c r="G40" s="75"/>
      <c r="H40" s="75"/>
      <c r="I40" s="75"/>
    </row>
    <row r="41" spans="1:13" ht="14.45" customHeight="1">
      <c r="C41" s="2"/>
      <c r="F41" s="75"/>
      <c r="G41" s="75"/>
      <c r="H41" s="75"/>
      <c r="I41" s="75"/>
    </row>
    <row r="42" spans="1:13" ht="14.45" customHeight="1">
      <c r="C42" s="2"/>
      <c r="F42" s="75"/>
      <c r="G42" s="75"/>
      <c r="H42" s="75"/>
      <c r="I42" s="75"/>
    </row>
    <row r="43" spans="1:13" ht="14.45" customHeight="1">
      <c r="C43" s="2"/>
      <c r="F43" s="75"/>
      <c r="G43" s="75"/>
      <c r="H43" s="75"/>
      <c r="I43" s="75"/>
    </row>
  </sheetData>
  <mergeCells count="7">
    <mergeCell ref="K37:L37"/>
    <mergeCell ref="I1:I5"/>
    <mergeCell ref="C1:D9"/>
    <mergeCell ref="F39:F43"/>
    <mergeCell ref="G6:I43"/>
    <mergeCell ref="G1:G5"/>
    <mergeCell ref="A15:E33"/>
  </mergeCells>
  <pageMargins left="0.7" right="0.7" top="0.75" bottom="0.75" header="0.3" footer="0.3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D3:E16"/>
  <sheetViews>
    <sheetView workbookViewId="0">
      <selection activeCell="E22" sqref="E22"/>
    </sheetView>
  </sheetViews>
  <sheetFormatPr defaultRowHeight="14.45"/>
  <cols>
    <col min="5" max="5" width="18.5703125" customWidth="1"/>
  </cols>
  <sheetData>
    <row r="3" spans="4:5" ht="15" thickBot="1"/>
    <row r="4" spans="4:5" ht="15.6" thickTop="1" thickBot="1">
      <c r="E4" s="33" t="s">
        <v>827</v>
      </c>
    </row>
    <row r="5" spans="4:5" ht="15.6" thickTop="1" thickBot="1">
      <c r="D5" t="s">
        <v>802</v>
      </c>
      <c r="E5" s="33">
        <f>COUNTIF(Aug!E4:E684,"FCR")</f>
        <v>0</v>
      </c>
    </row>
    <row r="6" spans="4:5" ht="15.6" thickTop="1" thickBot="1">
      <c r="E6" s="33"/>
    </row>
    <row r="7" spans="4:5" ht="15.6" thickTop="1" thickBot="1">
      <c r="E7" s="33"/>
    </row>
    <row r="8" spans="4:5" ht="15.6" thickTop="1" thickBot="1">
      <c r="E8" s="33"/>
    </row>
    <row r="9" spans="4:5" ht="15.6" thickTop="1" thickBot="1">
      <c r="E9" s="33"/>
    </row>
    <row r="10" spans="4:5" ht="15.6" thickTop="1" thickBot="1">
      <c r="E10" s="33"/>
    </row>
    <row r="11" spans="4:5" ht="15.6" thickTop="1" thickBot="1">
      <c r="E11" s="33"/>
    </row>
    <row r="12" spans="4:5" ht="15.6" thickTop="1" thickBot="1">
      <c r="E12" s="33"/>
    </row>
    <row r="13" spans="4:5" ht="15.6" thickTop="1" thickBot="1">
      <c r="E13" s="33"/>
    </row>
    <row r="14" spans="4:5" ht="15.6" thickTop="1" thickBot="1">
      <c r="E14" s="33"/>
    </row>
    <row r="15" spans="4:5" ht="15.6" thickTop="1" thickBot="1">
      <c r="E15" s="33"/>
    </row>
    <row r="16" spans="4:5" ht="15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Swapnil Wale</dc:creator>
  <cp:keywords/>
  <dc:description/>
  <cp:lastModifiedBy>Ghaida  AlOmair</cp:lastModifiedBy>
  <cp:revision/>
  <dcterms:created xsi:type="dcterms:W3CDTF">2016-08-31T10:48:09Z</dcterms:created>
  <dcterms:modified xsi:type="dcterms:W3CDTF">2025-11-03T13:05:03Z</dcterms:modified>
  <cp:category/>
  <cp:contentStatus/>
</cp:coreProperties>
</file>